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activeTab="0"/>
  </bookViews>
  <sheets>
    <sheet name="WBS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<sst xmlns="http://schemas.openxmlformats.org/spreadsheetml/2006/main" count="199" uniqueCount="199">
  <si>
    <t>서울 지하철 역세권 분석 프로젝트 WBS</t>
  </si>
  <si>
    <t>1. 프로젝트 기본 정보</t>
  </si>
  <si>
    <t>항목</t>
  </si>
  <si>
    <t>내용</t>
  </si>
  <si>
    <t>진행 상태 요약</t>
  </si>
  <si>
    <t>프로젝트명</t>
  </si>
  <si>
    <t>서울 지하철 역세권의 교통 이용량과 부동산 특성 분석</t>
  </si>
  <si>
    <t>완료</t>
  </si>
  <si>
    <t>프로젝트 기간</t>
  </si>
  <si>
    <t>2026.08.18 ~ 약 3주</t>
  </si>
  <si>
    <t>진행중</t>
  </si>
  <si>
    <t>작성자</t>
  </si>
  <si>
    <t>김경혜, 김주영, 박경필, 전정재</t>
  </si>
  <si>
    <t>예정</t>
  </si>
  <si>
    <t>작성일</t>
  </si>
  <si>
    <t>2026.08.25</t>
  </si>
  <si>
    <t>※ 상태 건수는 아래 WBS 표의 현재 상태를 기준으로 자동 집계</t>
  </si>
  <si>
    <t>프로젝트 목표</t>
  </si>
  <si>
    <t>서울 2호선 역별 지하철 이용량과 부동산 가격을 결합하여 역세권별 특성과 관계를 분석</t>
  </si>
  <si>
    <t>주요 산출물</t>
  </si>
  <si>
    <t>전처리·통합 데이터, SQL/Python 분석 결과, Power BI Dashboard, 보고서, 발표자료</t>
  </si>
  <si>
    <t>2. WBS</t>
  </si>
  <si>
    <t>WBS ID</t>
  </si>
  <si>
    <t>대분류</t>
  </si>
  <si>
    <t>작업명</t>
  </si>
  <si>
    <t>세부 작업</t>
  </si>
  <si>
    <t>시작일</t>
  </si>
  <si>
    <t>종료일</t>
  </si>
  <si>
    <t>담당자</t>
  </si>
  <si>
    <t>상태</t>
  </si>
  <si>
    <t>산출물</t>
  </si>
  <si>
    <t>1.0</t>
  </si>
  <si>
    <t>기획</t>
  </si>
  <si>
    <t>프로젝트 기획</t>
  </si>
  <si>
    <t>프로젝트 목표·분석 방향 설정</t>
  </si>
  <si>
    <t>8/18</t>
  </si>
  <si>
    <t>전체</t>
  </si>
  <si>
    <t>프로젝트 기획안</t>
  </si>
  <si>
    <t>1.1</t>
  </si>
  <si>
    <t>주제 선정</t>
  </si>
  <si>
    <t>서울 2호선 교통량·부동산 가격 분석 주제 선정</t>
  </si>
  <si>
    <t>분석 주제</t>
  </si>
  <si>
    <t>1.2</t>
  </si>
  <si>
    <t>요구사항 정의</t>
  </si>
  <si>
    <t>33개 역·2022~2026년·주택/거래유형 분석 범위 설정</t>
  </si>
  <si>
    <t>분석 범위</t>
  </si>
  <si>
    <t>2.0</t>
  </si>
  <si>
    <t>데이터</t>
  </si>
  <si>
    <t>데이터 수집</t>
  </si>
  <si>
    <t>부동산·전월세·지하철 공공데이터 수집</t>
  </si>
  <si>
    <t>8/19</t>
  </si>
  <si>
    <t>-</t>
  </si>
  <si>
    <t>원본 데이터</t>
  </si>
  <si>
    <t>2.1</t>
  </si>
  <si>
    <t>데이터 확보</t>
  </si>
  <si>
    <t>주택 4종·전월세·지하철 데이터 파일 확보</t>
  </si>
  <si>
    <t>수집 데이터</t>
  </si>
  <si>
    <t>2.2</t>
  </si>
  <si>
    <t>데이터 확인</t>
  </si>
  <si>
    <t>기간·역명·컬럼 구조·데이터 품질 확인</t>
  </si>
  <si>
    <t>데이터 확인 결과</t>
  </si>
  <si>
    <t>3.0</t>
  </si>
  <si>
    <t>전처리</t>
  </si>
  <si>
    <t>데이터 전처리</t>
  </si>
  <si>
    <t>분석용 컬럼 정제 및 데이터 구조 통일</t>
  </si>
  <si>
    <t>8/20</t>
  </si>
  <si>
    <t>전처리 데이터</t>
  </si>
  <si>
    <t>3.1</t>
  </si>
  <si>
    <t>결측·형식 처리</t>
  </si>
  <si>
    <t>보증금·임대료 NULL 처리 및 자료형 정리</t>
  </si>
  <si>
    <t>정제 데이터</t>
  </si>
  <si>
    <t>3.2</t>
  </si>
  <si>
    <t>중복·기준 통일</t>
  </si>
  <si>
    <t>역명·주택유형·거래유형 기준 통일</t>
  </si>
  <si>
    <t>기준 통일 데이터</t>
  </si>
  <si>
    <t>3.3</t>
  </si>
  <si>
    <t>데이터 변환·통합</t>
  </si>
  <si>
    <t>부동산 6개 데이터 통합 및 33개 역 기준 구성</t>
  </si>
  <si>
    <t>통합 데이터</t>
  </si>
  <si>
    <t>4.0</t>
  </si>
  <si>
    <t>분석</t>
  </si>
  <si>
    <t>데이터 분석</t>
  </si>
  <si>
    <t>MySQL·Python 기반 교통·부동산 분석</t>
  </si>
  <si>
    <t>8/21</t>
  </si>
  <si>
    <t>분석 결과</t>
  </si>
  <si>
    <t>4.1</t>
  </si>
  <si>
    <t>기초 분석</t>
  </si>
  <si>
    <t>연도·역명 JOIN 및 유형별 분석 데이터 추출</t>
  </si>
  <si>
    <t>8/25</t>
  </si>
  <si>
    <t>SQL 분석 데이터</t>
  </si>
  <si>
    <t>4.2</t>
  </si>
  <si>
    <t>심화 분석</t>
  </si>
  <si>
    <t>2022~2025년 48개 조합 상관·4분면 분석 자동화</t>
  </si>
  <si>
    <t>Python 분석 결과</t>
  </si>
  <si>
    <t>5.0</t>
  </si>
  <si>
    <t>시각화</t>
  </si>
  <si>
    <t>데이터 시각화</t>
  </si>
  <si>
    <t>Power BI Dashboard 구현</t>
  </si>
  <si>
    <t>8/24</t>
  </si>
  <si>
    <t>Power BI Dashboard</t>
  </si>
  <si>
    <t>5.1</t>
  </si>
  <si>
    <t>차트 작성</t>
  </si>
  <si>
    <t>KPI·슬라이서·이용량·가격·상관·4분면 차트 작성</t>
  </si>
  <si>
    <t>PBIX</t>
  </si>
  <si>
    <t>5.2</t>
  </si>
  <si>
    <t>결과 확인</t>
  </si>
  <si>
    <t>DAX 계산값과 SQL·Python 분석 결과 비교 검증</t>
  </si>
  <si>
    <t>검증 결과</t>
  </si>
  <si>
    <t>6.0</t>
  </si>
  <si>
    <t>결과</t>
  </si>
  <si>
    <t>결과 해석</t>
  </si>
  <si>
    <t>분석 결과의 주요 특징·차이 정리</t>
  </si>
  <si>
    <t>6.1</t>
  </si>
  <si>
    <t>인사이트 도출</t>
  </si>
  <si>
    <t>교통 이용량·부동산 가격 관계 및 주요 역 특성 도출</t>
  </si>
  <si>
    <t>Insight</t>
  </si>
  <si>
    <t>7.0</t>
  </si>
  <si>
    <t>보고서</t>
  </si>
  <si>
    <t>결과물 작성</t>
  </si>
  <si>
    <t>프로젝트 최종 결과물 구성</t>
  </si>
  <si>
    <t>최종 결과물</t>
  </si>
  <si>
    <t>7.1</t>
  </si>
  <si>
    <t>보고서 작성</t>
  </si>
  <si>
    <t>데이터 수집·분석 과정과 결과 정리</t>
  </si>
  <si>
    <t>프로젝트 보고서</t>
  </si>
  <si>
    <t>7.2</t>
  </si>
  <si>
    <t>발표 자료</t>
  </si>
  <si>
    <t>핵심 분석 결과·시각화 중심 PPT 작성</t>
  </si>
  <si>
    <t>발표자료</t>
  </si>
  <si>
    <t>8.0</t>
  </si>
  <si>
    <t>최종 검토</t>
  </si>
  <si>
    <t>데이터·분석·Dashboard·보고서 최종 검토</t>
  </si>
  <si>
    <t>8.1</t>
  </si>
  <si>
    <t>최종 발표</t>
  </si>
  <si>
    <t>프로젝트 분석 과정 및 결과 발표</t>
  </si>
  <si>
    <t>3. 일정 계획</t>
  </si>
  <si>
    <t>기간</t>
  </si>
  <si>
    <t>예상 소요시간</t>
  </si>
  <si>
    <t>8/18~8/19</t>
  </si>
  <si>
    <t>8/19~8/20</t>
  </si>
  <si>
    <t>8/21~</t>
  </si>
  <si>
    <t>8/24~</t>
  </si>
  <si>
    <t>최종 검토 및 발표</t>
  </si>
  <si>
    <t>4. 산출물 관리</t>
  </si>
  <si>
    <t>산출물 ID</t>
  </si>
  <si>
    <t>산출물명</t>
  </si>
  <si>
    <t>관련 WBS</t>
  </si>
  <si>
    <t>파일 형식</t>
  </si>
  <si>
    <t>D01</t>
  </si>
  <si>
    <t>데이터 수집 결과</t>
  </si>
  <si>
    <t>CSV / XLSX</t>
  </si>
  <si>
    <t>D02</t>
  </si>
  <si>
    <t>전처리·통합 데이터</t>
  </si>
  <si>
    <t>D03</t>
  </si>
  <si>
    <t>SQL / Python 분석 결과</t>
  </si>
  <si>
    <t>SQL / PY / IPYNB / CSV</t>
  </si>
  <si>
    <t>D04</t>
  </si>
  <si>
    <t>Power BI 시각화 결과</t>
  </si>
  <si>
    <t>D05</t>
  </si>
  <si>
    <t>최종 보고서</t>
  </si>
  <si>
    <t>PDF / DOCX</t>
  </si>
  <si>
    <t>D06</t>
  </si>
  <si>
    <t>PPTX</t>
  </si>
  <si>
    <t>5. 진행 상태</t>
  </si>
  <si>
    <t>의미</t>
  </si>
  <si>
    <t>아직 시작하지 않은 작업</t>
  </si>
  <si>
    <t>현재 수행 중인 작업</t>
  </si>
  <si>
    <t>작업 및 검증이 끝난 항목</t>
  </si>
  <si>
    <t>보류</t>
  </si>
  <si>
    <t>일시 중단하거나 추후 검토할 항목</t>
  </si>
  <si>
    <t>6. 프로젝트 일정 요약</t>
  </si>
  <si>
    <t>↓</t>
  </si>
  <si>
    <t>7. 날짜별 진행 내용</t>
  </si>
  <si>
    <t>날짜</t>
  </si>
  <si>
    <t>주요 작업</t>
  </si>
  <si>
    <t>세부 내용</t>
  </si>
  <si>
    <t>프로젝트 기획
및 데이터 수집</t>
  </si>
  <si>
    <t>• 주제 선정 및 분석 목표 설정
• 서울 2호선 33개 역·2022~2026년 분석 범위 설정
• 부동산·전월세·지하철 데이터 수집</t>
  </si>
  <si>
    <t>역명 및 데이터
구조 통일</t>
  </si>
  <si>
    <t>• 분석 대상 33개 역 확정
• 부동산·지하철 역명 기준 통일
• 컬럼 구조 및 데이터 기준 정리</t>
  </si>
  <si>
    <t>부동산 통합
데이터 구축</t>
  </si>
  <si>
    <t>• 부동산 6개 데이터 통합
• 주택유형·거래유형 기준 통일
• 보증금·임대료 등 임대차 컬럼 정리</t>
  </si>
  <si>
    <t>SQL Database
구축 및 JOIN</t>
  </si>
  <si>
    <t>• MySQL 프로젝트 Schema 구성
• 연도·역명 기준 지하철 이용량 집계
• 부동산·지하철 JOIN 및 결과 검증</t>
  </si>
  <si>
    <t>분석용 데이터 집계
및 Dashboard 설계</t>
  </si>
  <si>
    <t>• 분석용 집계 데이터 생성
• Dashboard 구조·KPI·필터 설계
• Power BI 현황 시각화 구현 시작</t>
  </si>
  <si>
    <t>MySQL·Python 분석
및 Power BI 구현</t>
  </si>
  <si>
    <t>• MySQL 조건별 분석 데이터 추출
• Python 48개 조합 상관관계·4분면 분석 자동화
• Power BI DAX Measure 및 시각화 구현</t>
  </si>
  <si>
    <t>2026.08.18 ~ 09.03 약 3주</t>
  </si>
  <si>
    <t>Power BI Dashboard 초안 작성</t>
  </si>
  <si>
    <t>KPI·차트·슬라이서 등 주요 시각화 구성 초안 작성</t>
  </si>
  <si>
    <t>SQL·Python 분석 결과와 시각화 결과 비교·검토</t>
  </si>
  <si>
    <t>8/25~</t>
  </si>
  <si>
    <t>분석용 데이터 집계 및 Power BI 초안 설계</t>
  </si>
  <si>
    <t>• 분석용 집계 데이터 생성
• Dashboard 구조·KPI·필터 초안 설계
• Power BI 주요 시각화 배치 초안 작성</t>
  </si>
  <si>
    <t>MySQL·Python 분석 및 Power BI 초안 작성</t>
  </si>
  <si>
    <t>• MySQL 조건별 분석 데이터 추출
• Python 48개 조합 상관관계·4분면 분석 자동화
• 분석 결과 기반 KPI·차트·슬라이서 등 시각화 구성 초안 작성</t>
  </si>
  <si>
    <t>분석용 데이터 집계
Power BI 초안 설계</t>
  </si>
  <si>
    <t>MySQL·Python 분석
Power BI 초안 작성</t>
  </si>
</sst>
</file>

<file path=xl/styles.xml><?xml version="1.0" encoding="utf-8"?>
<styleSheet xmlns="http://schemas.openxmlformats.org/spreadsheetml/2006/main">
  <numFmts count="2">
    <numFmt numFmtId="64" formatCode="mm&quot;월&quot;\ dd&quot;일&quot;"/>
    <numFmt numFmtId="65" formatCode="m\/d"/>
  </numFmts>
  <fonts count="29">
    <font>
      <sz val="11.0"/>
      <name val="Carlito"/>
      <color rgb="FF000000"/>
    </font>
    <font>
      <b/>
      <sz val="16.0"/>
      <name val="Carlito"/>
      <color rgb="FFFFFFFF"/>
    </font>
    <font>
      <b/>
      <sz val="12.0"/>
      <name val="Carlito"/>
      <color rgb="FFFFFFFF"/>
    </font>
    <font>
      <b/>
      <sz val="10.0"/>
      <name val="Carlito"/>
      <color rgb="FF1F1F1F"/>
    </font>
    <font>
      <b/>
      <sz val="11.0"/>
      <name val="Carlito"/>
      <color rgb="FF17365D"/>
    </font>
    <font>
      <sz val="11.0"/>
      <name val="Carlito"/>
      <color rgb="FF1F1F1F"/>
    </font>
    <font>
      <sz val="10.0"/>
      <name val="Carlito"/>
      <color rgb="FF000000"/>
    </font>
    <font>
      <b/>
      <sz val="10.0"/>
      <name val="Carlito"/>
      <color rgb="FF000000"/>
    </font>
    <font>
      <b/>
      <sz val="11.0"/>
      <name val="Carlito"/>
      <color rgb="FF000000"/>
    </font>
    <font>
      <i/>
      <sz val="9.0"/>
      <name val="Carlito"/>
      <color rgb="FF555555"/>
    </font>
    <font>
      <sz val="11.0"/>
      <name val="Carlito"/>
      <color theme="1"/>
    </font>
    <font>
      <u/>
      <sz val="11.0"/>
      <name val="Carlito"/>
      <color theme="10"/>
    </font>
    <font>
      <u/>
      <sz val="11.0"/>
      <name val="Carlito"/>
      <color theme="11"/>
    </font>
    <font>
      <sz val="11.0"/>
      <name val="Carlito"/>
      <color rgb="FFFF0000"/>
    </font>
    <font>
      <sz val="18.0"/>
      <name val="Carlito"/>
      <color theme="3"/>
    </font>
    <font>
      <b/>
      <sz val="15.0"/>
      <name val="Carlito"/>
      <color theme="3"/>
    </font>
    <font>
      <b/>
      <sz val="13.0"/>
      <name val="Carlito"/>
      <color theme="3"/>
    </font>
    <font>
      <b/>
      <sz val="11.0"/>
      <name val="Carlito"/>
      <color theme="3"/>
    </font>
    <font>
      <sz val="11.0"/>
      <name val="Carlito"/>
      <color rgb="FF3F3F76"/>
    </font>
    <font>
      <b/>
      <sz val="11.0"/>
      <name val="Carlito"/>
      <color rgb="FF3F3F3F"/>
    </font>
    <font>
      <b/>
      <sz val="11.0"/>
      <name val="Carlito"/>
      <color rgb="FFFA7D00"/>
    </font>
    <font>
      <b/>
      <sz val="11.0"/>
      <name val="Carlito"/>
      <color rgb="FFFFFFFF"/>
    </font>
    <font>
      <sz val="11.0"/>
      <name val="Carlito"/>
      <color rgb="FFFA7D00"/>
    </font>
    <font>
      <b/>
      <sz val="11.0"/>
      <name val="Carlito"/>
      <color theme="1"/>
    </font>
    <font>
      <sz val="11.0"/>
      <name val="Carlito"/>
      <color rgb="FF006100"/>
    </font>
    <font>
      <sz val="11.0"/>
      <name val="Carlito"/>
      <color rgb="FF9C0006"/>
    </font>
    <font>
      <sz val="11.0"/>
      <name val="Carlito"/>
      <color rgb="FF9C6500"/>
    </font>
    <font>
      <sz val="11.0"/>
      <name val="Carlito"/>
      <color theme="0"/>
    </font>
    <font>
      <i/>
      <sz val="11.0"/>
      <name val="Carlito"/>
      <color rgb="FF7F7F7F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17365D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2">
    <border/>
    <border>
      <left/>
      <top/>
      <bottom/>
    </border>
    <border>
      <right/>
      <top/>
      <bottom/>
    </border>
    <border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0">
    <xf numFmtId="0" fontId="0" fillId="0" borderId="0">
      <alignment vertical="center"/>
    </xf>
    <xf numFmtId="0" fontId="10" fillId="0" borderId="12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0" fillId="9" borderId="13" applyAlignment="0" applyFont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14" applyAlignment="0" applyFill="0" applyNumberFormat="0" applyProtection="0">
      <alignment vertical="center"/>
    </xf>
    <xf numFmtId="0" fontId="16" fillId="0" borderId="15" applyAlignment="0" applyFill="0" applyNumberFormat="0" applyProtection="0">
      <alignment vertical="center"/>
    </xf>
    <xf numFmtId="0" fontId="17" fillId="0" borderId="16" applyAlignment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10" borderId="17" applyAlignment="0" applyNumberFormat="0" applyProtection="0">
      <alignment vertical="center"/>
    </xf>
    <xf numFmtId="0" fontId="19" fillId="11" borderId="18" applyAlignment="0" applyNumberFormat="0" applyProtection="0">
      <alignment vertical="center"/>
    </xf>
    <xf numFmtId="0" fontId="20" fillId="11" borderId="17" applyAlignment="0" applyNumberFormat="0" applyProtection="0">
      <alignment vertical="center"/>
    </xf>
    <xf numFmtId="0" fontId="21" fillId="12" borderId="19" applyAlignment="0" applyNumberFormat="0" applyProtection="0">
      <alignment vertical="center"/>
    </xf>
    <xf numFmtId="0" fontId="22" fillId="0" borderId="20" applyAlignment="0" applyFill="0" applyNumberFormat="0" applyProtection="0">
      <alignment vertical="center"/>
    </xf>
    <xf numFmtId="0" fontId="23" fillId="0" borderId="21" applyAlignment="0" applyFill="0" applyNumberFormat="0" applyProtection="0">
      <alignment vertical="center"/>
    </xf>
    <xf numFmtId="0" fontId="24" fillId="13" borderId="0" applyAlignment="0" applyBorder="0" applyNumberFormat="0" applyProtection="0">
      <alignment vertical="center"/>
    </xf>
    <xf numFmtId="0" fontId="25" fillId="14" borderId="0" applyAlignment="0" applyBorder="0" applyNumberFormat="0" applyProtection="0">
      <alignment vertical="center"/>
    </xf>
    <xf numFmtId="0" fontId="26" fillId="15" borderId="0" applyAlignment="0" applyBorder="0" applyNumberFormat="0" applyProtection="0">
      <alignment vertical="center"/>
    </xf>
    <xf numFmtId="0" fontId="27" fillId="16" borderId="0" applyAlignment="0" applyBorder="0" applyNumberFormat="0" applyProtection="0">
      <alignment vertical="center"/>
    </xf>
    <xf numFmtId="0" fontId="10" fillId="17" borderId="0" applyAlignment="0" applyBorder="0" applyNumberFormat="0" applyProtection="0">
      <alignment vertical="center"/>
    </xf>
    <xf numFmtId="0" fontId="10" fillId="18" borderId="0" applyAlignment="0" applyBorder="0" applyNumberFormat="0" applyProtection="0">
      <alignment vertical="center"/>
    </xf>
    <xf numFmtId="0" fontId="27" fillId="19" borderId="0" applyAlignment="0" applyBorder="0" applyNumberFormat="0" applyProtection="0">
      <alignment vertical="center"/>
    </xf>
    <xf numFmtId="0" fontId="27" fillId="20" borderId="0" applyAlignment="0" applyBorder="0" applyNumberFormat="0" applyProtection="0">
      <alignment vertical="center"/>
    </xf>
    <xf numFmtId="0" fontId="10" fillId="21" borderId="0" applyAlignment="0" applyBorder="0" applyNumberFormat="0" applyProtection="0">
      <alignment vertical="center"/>
    </xf>
    <xf numFmtId="0" fontId="10" fillId="22" borderId="0" applyAlignment="0" applyBorder="0" applyNumberFormat="0" applyProtection="0">
      <alignment vertical="center"/>
    </xf>
    <xf numFmtId="0" fontId="27" fillId="23" borderId="0" applyAlignment="0" applyBorder="0" applyNumberFormat="0" applyProtection="0">
      <alignment vertical="center"/>
    </xf>
    <xf numFmtId="0" fontId="27" fillId="24" borderId="0" applyAlignment="0" applyBorder="0" applyNumberFormat="0" applyProtection="0">
      <alignment vertical="center"/>
    </xf>
    <xf numFmtId="0" fontId="10" fillId="25" borderId="0" applyAlignment="0" applyBorder="0" applyNumberFormat="0" applyProtection="0">
      <alignment vertical="center"/>
    </xf>
    <xf numFmtId="0" fontId="10" fillId="26" borderId="0" applyAlignment="0" applyBorder="0" applyNumberFormat="0" applyProtection="0">
      <alignment vertical="center"/>
    </xf>
    <xf numFmtId="0" fontId="27" fillId="27" borderId="0" applyAlignment="0" applyBorder="0" applyNumberFormat="0" applyProtection="0">
      <alignment vertical="center"/>
    </xf>
    <xf numFmtId="0" fontId="27" fillId="28" borderId="0" applyAlignment="0" applyBorder="0" applyNumberFormat="0" applyProtection="0">
      <alignment vertical="center"/>
    </xf>
    <xf numFmtId="0" fontId="10" fillId="29" borderId="0" applyAlignment="0" applyBorder="0" applyNumberFormat="0" applyProtection="0">
      <alignment vertical="center"/>
    </xf>
    <xf numFmtId="0" fontId="10" fillId="30" borderId="0" applyAlignment="0" applyBorder="0" applyNumberFormat="0" applyProtection="0">
      <alignment vertical="center"/>
    </xf>
    <xf numFmtId="0" fontId="27" fillId="31" borderId="0" applyAlignment="0" applyBorder="0" applyNumberFormat="0" applyProtection="0">
      <alignment vertical="center"/>
    </xf>
    <xf numFmtId="0" fontId="27" fillId="32" borderId="0" applyAlignment="0" applyBorder="0" applyNumberFormat="0" applyProtection="0">
      <alignment vertical="center"/>
    </xf>
    <xf numFmtId="0" fontId="10" fillId="33" borderId="0" applyAlignment="0" applyBorder="0" applyNumberFormat="0" applyProtection="0">
      <alignment vertical="center"/>
    </xf>
    <xf numFmtId="0" fontId="10" fillId="34" borderId="0" applyAlignment="0" applyBorder="0" applyNumberFormat="0" applyProtection="0">
      <alignment vertical="center"/>
    </xf>
    <xf numFmtId="0" fontId="27" fillId="35" borderId="0" applyAlignment="0" applyBorder="0" applyNumberFormat="0" applyProtection="0">
      <alignment vertical="center"/>
    </xf>
    <xf numFmtId="0" fontId="27" fillId="36" borderId="0" applyAlignment="0" applyBorder="0" applyNumberFormat="0" applyProtection="0">
      <alignment vertical="center"/>
    </xf>
    <xf numFmtId="0" fontId="10" fillId="37" borderId="0" applyAlignment="0" applyBorder="0" applyNumberFormat="0" applyProtection="0">
      <alignment vertical="center"/>
    </xf>
    <xf numFmtId="0" fontId="10" fillId="38" borderId="0" applyAlignment="0" applyBorder="0" applyNumberFormat="0" applyProtection="0">
      <alignment vertical="center"/>
    </xf>
    <xf numFmtId="0" fontId="27" fillId="39" borderId="0" applyAlignment="0" applyBorder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</cellStyleXfs>
  <cellXfs count="173">
    <xf numFmtId="0" fontId="0" fillId="0" borderId="0" xfId="0"/>
    <xf numFmtId="0" fontId="0" fillId="0" borderId="0" xfId="0" applyNumberFormat="1" applyFill="1" applyBorder="1"/>
    <xf numFmtId="0" fontId="0" fillId="2" borderId="0" xfId="0" applyNumberFormat="1" applyFill="1" applyBorder="1"/>
    <xf numFmtId="0" fontId="1" fillId="2" borderId="0" xfId="0" applyNumberFormat="1" applyFill="1" applyBorder="1"/>
    <xf numFmtId="0" fontId="1" fillId="2" borderId="0" xfId="0" applyNumberFormat="1" applyFill="1" applyBorder="1" applyAlignment="1">
      <alignment horizontal="center"/>
    </xf>
    <xf numFmtId="0" fontId="1" fillId="2" borderId="0" xfId="0" applyNumberFormat="1" applyFill="1" applyBorder="1" applyAlignment="1">
      <alignment horizontal="center" vertical="center"/>
    </xf>
    <xf numFmtId="0" fontId="2" fillId="2" borderId="0" xfId="0" applyNumberFormat="1" applyFill="1" applyBorder="1"/>
    <xf numFmtId="0" fontId="2" fillId="2" borderId="0" xfId="0" applyNumberFormat="1" applyFill="1" applyBorder="1" applyAlignment="1">
      <alignment horizontal="left"/>
    </xf>
    <xf numFmtId="0" fontId="2" fillId="2" borderId="0" xfId="0" applyNumberFormat="1" applyFill="1" applyBorder="1" applyAlignment="1">
      <alignment horizontal="left" vertical="center"/>
    </xf>
    <xf numFmtId="0" fontId="0" fillId="3" borderId="0" xfId="0" applyNumberFormat="1" applyFill="1" applyBorder="1"/>
    <xf numFmtId="0" fontId="3" fillId="3" borderId="0" xfId="0" applyNumberFormat="1" applyFill="1" applyBorder="1"/>
    <xf numFmtId="0" fontId="3" fillId="3" borderId="0" xfId="0" applyNumberFormat="1" applyFill="1" applyBorder="1" applyAlignment="1">
      <alignment wrapText="1"/>
    </xf>
    <xf numFmtId="0" fontId="3" fillId="3" borderId="0" xfId="0" applyNumberFormat="1" applyFill="1" applyBorder="1" applyAlignment="1">
      <alignment horizontal="center" wrapText="1"/>
    </xf>
    <xf numFmtId="0" fontId="3" fillId="3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wrapText="1"/>
    </xf>
    <xf numFmtId="0" fontId="0" fillId="4" borderId="0" xfId="0" applyNumberFormat="1" applyFill="1" applyBorder="1"/>
    <xf numFmtId="0" fontId="0" fillId="5" borderId="0" xfId="0" applyNumberFormat="1" applyFill="1" applyBorder="1"/>
    <xf numFmtId="0" fontId="0" fillId="6" borderId="0" xfId="0" applyNumberFormat="1" applyFill="1" applyBorder="1"/>
    <xf numFmtId="0" fontId="0" fillId="4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5" borderId="0" xfId="0" applyNumberFormat="1" applyFill="1" applyBorder="1" applyAlignment="1">
      <alignment horizontal="center"/>
    </xf>
    <xf numFmtId="0" fontId="0" fillId="6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4" borderId="0" xfId="0" applyNumberFormat="1" applyFill="1" applyBorder="1" applyAlignment="1">
      <alignment horizontal="center" vertical="center" wrapText="1"/>
    </xf>
    <xf numFmtId="0" fontId="0" fillId="5" borderId="0" xfId="0" applyNumberFormat="1" applyFill="1" applyBorder="1" applyAlignment="1">
      <alignment horizontal="center" vertical="center" wrapText="1"/>
    </xf>
    <xf numFmtId="0" fontId="0" fillId="6" borderId="0" xfId="0" applyNumberFormat="1" applyFill="1" applyBorder="1" applyAlignment="1">
      <alignment horizontal="center" vertical="center" wrapText="1"/>
    </xf>
    <xf numFmtId="0" fontId="0" fillId="4" borderId="0" xfId="0" applyNumberFormat="1" applyFill="1" applyBorder="1" applyAlignment="1">
      <alignment wrapText="1"/>
    </xf>
    <xf numFmtId="0" fontId="0" fillId="5" borderId="0" xfId="0" applyNumberFormat="1" applyFill="1" applyBorder="1" applyAlignment="1">
      <alignment wrapText="1"/>
    </xf>
    <xf numFmtId="0" fontId="0" fillId="6" borderId="0" xfId="0" applyNumberFormat="1" applyFill="1" applyBorder="1" applyAlignment="1">
      <alignment wrapText="1"/>
    </xf>
    <xf numFmtId="0" fontId="0" fillId="7" borderId="0" xfId="0" applyNumberFormat="1" applyFill="1" applyBorder="1"/>
    <xf numFmtId="0" fontId="4" fillId="0" borderId="0" xfId="0" applyNumberFormat="1" applyFill="1" applyBorder="1"/>
    <xf numFmtId="0" fontId="4" fillId="0" borderId="0" xfId="0" applyNumberFormat="1" applyFill="1" applyBorder="1" applyAlignment="1">
      <alignment horizontal="center"/>
    </xf>
    <xf numFmtId="0" fontId="4" fillId="0" borderId="0" xfId="0" applyNumberFormat="1" applyFill="1" applyBorder="1" applyAlignment="1">
      <alignment horizontal="center" vertical="center"/>
    </xf>
    <xf numFmtId="0" fontId="5" fillId="0" borderId="0" xfId="0" applyNumberFormat="1" applyFill="1" applyBorder="1"/>
    <xf numFmtId="0" fontId="5" fillId="0" borderId="0" xfId="0" applyNumberFormat="1" applyFill="1" applyBorder="1" applyAlignment="1">
      <alignment horizontal="center"/>
    </xf>
    <xf numFmtId="0" fontId="5" fillId="0" borderId="0" xfId="0" applyNumberFormat="1" applyFill="1" applyBorder="1" applyAlignment="1">
      <alignment horizontal="center" vertical="center"/>
    </xf>
    <xf numFmtId="0" fontId="6" fillId="0" borderId="0" xfId="0" applyNumberFormat="1" applyFill="1" applyBorder="1"/>
    <xf numFmtId="0" fontId="6" fillId="0" borderId="0" xfId="0" applyNumberFormat="1" applyFill="1" applyBorder="1" applyAlignment="1">
      <alignment wrapText="1"/>
    </xf>
    <xf numFmtId="0" fontId="6" fillId="0" borderId="0" xfId="0" applyNumberFormat="1" applyFill="1" applyBorder="1" applyAlignment="1">
      <alignment vertical="center" wrapText="1"/>
    </xf>
    <xf numFmtId="0" fontId="6" fillId="0" borderId="0" xfId="0" applyNumberFormat="1" applyFill="1" applyBorder="1" applyAlignment="1">
      <alignment horizontal="center" vertical="center" wrapText="1"/>
    </xf>
    <xf numFmtId="0" fontId="6" fillId="0" borderId="0" xfId="0" applyNumberFormat="1" applyFill="1" applyBorder="1" applyAlignment="1">
      <alignment horizontal="left" vertical="center" wrapText="1"/>
    </xf>
    <xf numFmtId="0" fontId="6" fillId="4" borderId="0" xfId="0" applyNumberFormat="1" applyFill="1" applyBorder="1" applyAlignment="1">
      <alignment horizontal="center" vertical="center" wrapText="1"/>
    </xf>
    <xf numFmtId="0" fontId="6" fillId="5" borderId="0" xfId="0" applyNumberFormat="1" applyFill="1" applyBorder="1" applyAlignment="1">
      <alignment horizontal="center" vertical="center" wrapText="1"/>
    </xf>
    <xf numFmtId="0" fontId="7" fillId="3" borderId="0" xfId="0" applyNumberFormat="1" applyFill="1" applyBorder="1" applyAlignment="1">
      <alignment horizontal="center" vertical="center" wrapText="1"/>
    </xf>
    <xf numFmtId="0" fontId="7" fillId="3" borderId="1" xfId="0" applyNumberFormat="1" applyFill="1" applyBorder="1" applyAlignment="1">
      <alignment horizontal="center" vertical="center" wrapText="1"/>
    </xf>
    <xf numFmtId="0" fontId="7" fillId="3" borderId="2" xfId="0" applyNumberFormat="1" applyFill="1" applyBorder="1" applyAlignment="1">
      <alignment horizontal="center" vertical="center" wrapText="1"/>
    </xf>
    <xf numFmtId="0" fontId="7" fillId="3" borderId="0" xfId="0" applyNumberFormat="1" applyFill="1" applyBorder="1"/>
    <xf numFmtId="0" fontId="7" fillId="3" borderId="1" xfId="0" applyNumberFormat="1" applyFill="1" applyBorder="1"/>
    <xf numFmtId="0" fontId="7" fillId="3" borderId="3" xfId="0" applyNumberFormat="1" applyFill="1" applyBorder="1" applyAlignment="1">
      <alignment horizontal="center" vertical="center" wrapText="1"/>
    </xf>
    <xf numFmtId="0" fontId="7" fillId="3" borderId="1" xfId="0" applyNumberFormat="1" applyFill="1" applyBorder="1" applyAlignment="1">
      <alignment wrapText="1"/>
    </xf>
    <xf numFmtId="0" fontId="7" fillId="3" borderId="1" xfId="0" applyNumberFormat="1" applyFill="1" applyBorder="1" applyAlignment="1">
      <alignment horizontal="center" wrapText="1"/>
    </xf>
    <xf numFmtId="0" fontId="7" fillId="3" borderId="3" xfId="0" applyNumberFormat="1" applyFill="1" applyBorder="1"/>
    <xf numFmtId="0" fontId="7" fillId="3" borderId="2" xfId="0" applyNumberFormat="1" applyFill="1" applyBorder="1"/>
    <xf numFmtId="0" fontId="7" fillId="3" borderId="3" xfId="0" applyNumberFormat="1" applyFill="1" applyBorder="1" applyAlignment="1">
      <alignment wrapText="1"/>
    </xf>
    <xf numFmtId="0" fontId="7" fillId="3" borderId="2" xfId="0" applyNumberFormat="1" applyFill="1" applyBorder="1" applyAlignment="1">
      <alignment wrapText="1"/>
    </xf>
    <xf numFmtId="0" fontId="7" fillId="3" borderId="3" xfId="0" applyNumberFormat="1" applyFill="1" applyBorder="1" applyAlignment="1">
      <alignment horizontal="center" wrapText="1"/>
    </xf>
    <xf numFmtId="0" fontId="7" fillId="3" borderId="2" xfId="0" applyNumberFormat="1" applyFill="1" applyBorder="1" applyAlignment="1">
      <alignment horizontal="center" wrapText="1"/>
    </xf>
    <xf numFmtId="0" fontId="7" fillId="0" borderId="0" xfId="0" applyNumberFormat="1" applyFill="1" applyBorder="1" applyAlignment="1">
      <alignment wrapText="1"/>
    </xf>
    <xf numFmtId="0" fontId="7" fillId="0" borderId="1" xfId="0" applyNumberFormat="1" applyFill="1" applyBorder="1" applyAlignment="1">
      <alignment wrapText="1"/>
    </xf>
    <xf numFmtId="0" fontId="7" fillId="0" borderId="2" xfId="0" applyNumberFormat="1" applyFill="1" applyBorder="1" applyAlignment="1">
      <alignment wrapText="1"/>
    </xf>
    <xf numFmtId="0" fontId="7" fillId="0" borderId="1" xfId="0" applyNumberFormat="1" applyFill="1" applyBorder="1" applyAlignment="1">
      <alignment horizontal="center" wrapText="1"/>
    </xf>
    <xf numFmtId="0" fontId="7" fillId="0" borderId="2" xfId="0" applyNumberFormat="1" applyFill="1" applyBorder="1" applyAlignment="1">
      <alignment horizontal="center" wrapText="1"/>
    </xf>
    <xf numFmtId="0" fontId="7" fillId="0" borderId="1" xfId="0" applyNumberFormat="1" applyFill="1" applyBorder="1" applyAlignment="1">
      <alignment horizontal="center" vertical="center" wrapText="1"/>
    </xf>
    <xf numFmtId="0" fontId="7" fillId="0" borderId="2" xfId="0" applyNumberFormat="1" applyFill="1" applyBorder="1" applyAlignment="1">
      <alignment horizontal="center" vertical="center" wrapText="1"/>
    </xf>
    <xf numFmtId="0" fontId="6" fillId="4" borderId="0" xfId="0" applyNumberFormat="1" applyFill="1" applyBorder="1" applyAlignment="1">
      <alignment horizontal="center"/>
    </xf>
    <xf numFmtId="0" fontId="6" fillId="0" borderId="0" xfId="0" applyNumberFormat="1" applyFill="1" applyBorder="1" applyAlignment="1">
      <alignment horizontal="center"/>
    </xf>
    <xf numFmtId="0" fontId="6" fillId="0" borderId="1" xfId="0" applyNumberFormat="1" applyFill="1" applyBorder="1"/>
    <xf numFmtId="0" fontId="6" fillId="4" borderId="3" xfId="0" applyNumberFormat="1" applyFill="1" applyBorder="1" applyAlignment="1">
      <alignment horizontal="center"/>
    </xf>
    <xf numFmtId="0" fontId="6" fillId="0" borderId="2" xfId="0" applyNumberFormat="1" applyFill="1" applyBorder="1" applyAlignment="1">
      <alignment horizontal="center"/>
    </xf>
    <xf numFmtId="0" fontId="6" fillId="0" borderId="1" xfId="0" applyNumberFormat="1" applyFill="1" applyBorder="1" applyAlignment="1">
      <alignment wrapText="1"/>
    </xf>
    <xf numFmtId="0" fontId="6" fillId="4" borderId="3" xfId="0" applyNumberFormat="1" applyFill="1" applyBorder="1" applyAlignment="1">
      <alignment horizontal="center" wrapText="1"/>
    </xf>
    <xf numFmtId="0" fontId="6" fillId="0" borderId="2" xfId="0" applyNumberFormat="1" applyFill="1" applyBorder="1" applyAlignment="1">
      <alignment horizontal="center" wrapText="1"/>
    </xf>
    <xf numFmtId="0" fontId="6" fillId="0" borderId="1" xfId="0" applyNumberFormat="1" applyFill="1" applyBorder="1" applyAlignment="1">
      <alignment horizontal="left" wrapText="1"/>
    </xf>
    <xf numFmtId="0" fontId="6" fillId="4" borderId="3" xfId="0" applyNumberFormat="1" applyFill="1" applyBorder="1" applyAlignment="1">
      <alignment horizontal="left" wrapText="1"/>
    </xf>
    <xf numFmtId="0" fontId="6" fillId="0" borderId="2" xfId="0" applyNumberFormat="1" applyFill="1" applyBorder="1" applyAlignment="1">
      <alignment horizontal="left" wrapText="1"/>
    </xf>
    <xf numFmtId="0" fontId="6" fillId="0" borderId="1" xfId="0" applyNumberFormat="1" applyFill="1" applyBorder="1" applyAlignment="1">
      <alignment horizontal="left" vertical="center" wrapText="1"/>
    </xf>
    <xf numFmtId="0" fontId="6" fillId="4" borderId="3" xfId="0" applyNumberFormat="1" applyFill="1" applyBorder="1" applyAlignment="1">
      <alignment horizontal="left" vertical="center" wrapText="1"/>
    </xf>
    <xf numFmtId="0" fontId="6" fillId="0" borderId="2" xfId="0" applyNumberFormat="1" applyFill="1" applyBorder="1" applyAlignment="1">
      <alignment horizontal="left" vertical="center" wrapText="1"/>
    </xf>
    <xf numFmtId="0" fontId="6" fillId="5" borderId="0" xfId="0" applyNumberFormat="1" applyFill="1" applyBorder="1" applyAlignment="1">
      <alignment horizontal="center"/>
    </xf>
    <xf numFmtId="0" fontId="6" fillId="5" borderId="3" xfId="0" applyNumberFormat="1" applyFill="1" applyBorder="1" applyAlignment="1">
      <alignment horizontal="center"/>
    </xf>
    <xf numFmtId="0" fontId="6" fillId="5" borderId="3" xfId="0" applyNumberFormat="1" applyFill="1" applyBorder="1" applyAlignment="1">
      <alignment horizontal="center" wrapText="1"/>
    </xf>
    <xf numFmtId="0" fontId="6" fillId="5" borderId="3" xfId="0" applyNumberFormat="1" applyFill="1" applyBorder="1" applyAlignment="1">
      <alignment horizontal="left" wrapText="1"/>
    </xf>
    <xf numFmtId="0" fontId="6" fillId="5" borderId="3" xfId="0" applyNumberFormat="1" applyFill="1" applyBorder="1" applyAlignment="1">
      <alignment horizontal="left" vertical="center" wrapText="1"/>
    </xf>
    <xf numFmtId="0" fontId="6" fillId="6" borderId="0" xfId="0" applyNumberFormat="1" applyFill="1" applyBorder="1" applyAlignment="1">
      <alignment horizontal="center"/>
    </xf>
    <xf numFmtId="0" fontId="6" fillId="6" borderId="3" xfId="0" applyNumberFormat="1" applyFill="1" applyBorder="1" applyAlignment="1">
      <alignment horizontal="center"/>
    </xf>
    <xf numFmtId="0" fontId="6" fillId="6" borderId="3" xfId="0" applyNumberFormat="1" applyFill="1" applyBorder="1" applyAlignment="1">
      <alignment horizontal="center" wrapText="1"/>
    </xf>
    <xf numFmtId="0" fontId="6" fillId="6" borderId="3" xfId="0" applyNumberFormat="1" applyFill="1" applyBorder="1" applyAlignment="1">
      <alignment horizontal="left" wrapText="1"/>
    </xf>
    <xf numFmtId="0" fontId="6" fillId="6" borderId="3" xfId="0" applyNumberFormat="1" applyFill="1" applyBorder="1" applyAlignment="1">
      <alignment horizontal="left" vertical="center" wrapText="1"/>
    </xf>
    <xf numFmtId="0" fontId="6" fillId="0" borderId="3" xfId="0" applyNumberFormat="1" applyFill="1" applyBorder="1"/>
    <xf numFmtId="0" fontId="6" fillId="0" borderId="2" xfId="0" applyNumberFormat="1" applyFill="1" applyBorder="1"/>
    <xf numFmtId="0" fontId="6" fillId="0" borderId="3" xfId="0" applyNumberFormat="1" applyFill="1" applyBorder="1" applyAlignment="1">
      <alignment wrapText="1"/>
    </xf>
    <xf numFmtId="0" fontId="6" fillId="0" borderId="2" xfId="0" applyNumberFormat="1" applyFill="1" applyBorder="1" applyAlignment="1">
      <alignment wrapText="1"/>
    </xf>
    <xf numFmtId="0" fontId="6" fillId="0" borderId="3" xfId="0" applyNumberFormat="1" applyFill="1" applyBorder="1" applyAlignment="1">
      <alignment horizontal="left" wrapText="1"/>
    </xf>
    <xf numFmtId="0" fontId="6" fillId="0" borderId="3" xfId="0" applyNumberFormat="1" applyFill="1" applyBorder="1" applyAlignment="1">
      <alignment horizontal="left" vertical="center" wrapText="1"/>
    </xf>
    <xf numFmtId="0" fontId="7" fillId="4" borderId="0" xfId="0" applyNumberFormat="1" applyFill="1" applyBorder="1"/>
    <xf numFmtId="0" fontId="7" fillId="4" borderId="1" xfId="0" applyNumberFormat="1" applyFill="1" applyBorder="1"/>
    <xf numFmtId="0" fontId="7" fillId="4" borderId="2" xfId="0" applyNumberFormat="1" applyFill="1" applyBorder="1"/>
    <xf numFmtId="0" fontId="7" fillId="4" borderId="1" xfId="0" applyNumberFormat="1" applyFill="1" applyBorder="1" applyAlignment="1">
      <alignment horizontal="center"/>
    </xf>
    <xf numFmtId="0" fontId="7" fillId="4" borderId="2" xfId="0" applyNumberFormat="1" applyFill="1" applyBorder="1" applyAlignment="1">
      <alignment horizontal="center"/>
    </xf>
    <xf numFmtId="0" fontId="7" fillId="4" borderId="1" xfId="0" applyNumberFormat="1" applyFill="1" applyBorder="1" applyAlignment="1">
      <alignment horizontal="center" vertical="center"/>
    </xf>
    <xf numFmtId="0" fontId="7" fillId="4" borderId="2" xfId="0" applyNumberFormat="1" applyFill="1" applyBorder="1" applyAlignment="1">
      <alignment horizontal="center" vertical="center"/>
    </xf>
    <xf numFmtId="0" fontId="7" fillId="5" borderId="0" xfId="0" applyNumberFormat="1" applyFill="1" applyBorder="1"/>
    <xf numFmtId="0" fontId="7" fillId="5" borderId="1" xfId="0" applyNumberFormat="1" applyFill="1" applyBorder="1"/>
    <xf numFmtId="0" fontId="7" fillId="5" borderId="2" xfId="0" applyNumberFormat="1" applyFill="1" applyBorder="1"/>
    <xf numFmtId="0" fontId="7" fillId="5" borderId="1" xfId="0" applyNumberFormat="1" applyFill="1" applyBorder="1" applyAlignment="1">
      <alignment horizontal="center"/>
    </xf>
    <xf numFmtId="0" fontId="7" fillId="5" borderId="2" xfId="0" applyNumberFormat="1" applyFill="1" applyBorder="1" applyAlignment="1">
      <alignment horizontal="center"/>
    </xf>
    <xf numFmtId="0" fontId="7" fillId="5" borderId="1" xfId="0" applyNumberFormat="1" applyFill="1" applyBorder="1" applyAlignment="1">
      <alignment horizontal="center" vertical="center"/>
    </xf>
    <xf numFmtId="0" fontId="7" fillId="5" borderId="2" xfId="0" applyNumberFormat="1" applyFill="1" applyBorder="1" applyAlignment="1">
      <alignment horizontal="center" vertical="center"/>
    </xf>
    <xf numFmtId="0" fontId="7" fillId="6" borderId="0" xfId="0" applyNumberFormat="1" applyFill="1" applyBorder="1"/>
    <xf numFmtId="0" fontId="7" fillId="6" borderId="1" xfId="0" applyNumberFormat="1" applyFill="1" applyBorder="1"/>
    <xf numFmtId="0" fontId="7" fillId="6" borderId="2" xfId="0" applyNumberFormat="1" applyFill="1" applyBorder="1"/>
    <xf numFmtId="0" fontId="7" fillId="6" borderId="1" xfId="0" applyNumberFormat="1" applyFill="1" applyBorder="1" applyAlignment="1">
      <alignment horizontal="center"/>
    </xf>
    <xf numFmtId="0" fontId="7" fillId="6" borderId="2" xfId="0" applyNumberFormat="1" applyFill="1" applyBorder="1" applyAlignment="1">
      <alignment horizontal="center"/>
    </xf>
    <xf numFmtId="0" fontId="7" fillId="6" borderId="1" xfId="0" applyNumberFormat="1" applyFill="1" applyBorder="1" applyAlignment="1">
      <alignment horizontal="center" vertical="center"/>
    </xf>
    <xf numFmtId="0" fontId="7" fillId="6" borderId="2" xfId="0" applyNumberFormat="1" applyFill="1" applyBorder="1" applyAlignment="1">
      <alignment horizontal="center" vertical="center"/>
    </xf>
    <xf numFmtId="0" fontId="8" fillId="0" borderId="0" xfId="0" applyNumberFormat="1" applyFill="1" applyBorder="1"/>
    <xf numFmtId="0" fontId="8" fillId="0" borderId="1" xfId="0" applyNumberFormat="1" applyFill="1" applyBorder="1"/>
    <xf numFmtId="0" fontId="8" fillId="0" borderId="2" xfId="0" applyNumberFormat="1" applyFill="1" applyBorder="1"/>
    <xf numFmtId="0" fontId="8" fillId="0" borderId="1" xfId="0" applyNumberFormat="1" applyFill="1" applyBorder="1" applyAlignment="1">
      <alignment horizontal="center"/>
    </xf>
    <xf numFmtId="0" fontId="8" fillId="0" borderId="2" xfId="0" applyNumberFormat="1" applyFill="1" applyBorder="1" applyAlignment="1">
      <alignment horizontal="center"/>
    </xf>
    <xf numFmtId="0" fontId="8" fillId="0" borderId="1" xfId="0" applyNumberFormat="1" applyFill="1" applyBorder="1" applyAlignment="1">
      <alignment horizontal="center" vertical="center"/>
    </xf>
    <xf numFmtId="0" fontId="8" fillId="0" borderId="2" xfId="0" applyNumberFormat="1" applyFill="1" applyBorder="1" applyAlignment="1">
      <alignment horizontal="center" vertical="center"/>
    </xf>
    <xf numFmtId="0" fontId="0" fillId="8" borderId="0" xfId="0" applyNumberFormat="1" applyFill="1" applyBorder="1"/>
    <xf numFmtId="0" fontId="9" fillId="8" borderId="0" xfId="0" applyNumberFormat="1" applyFill="1" applyBorder="1"/>
    <xf numFmtId="0" fontId="9" fillId="8" borderId="4" xfId="0" applyNumberFormat="1" applyFill="1" applyBorder="1"/>
    <xf numFmtId="0" fontId="9" fillId="8" borderId="5" xfId="0" applyNumberFormat="1" applyFill="1" applyBorder="1"/>
    <xf numFmtId="0" fontId="9" fillId="8" borderId="6" xfId="0" applyNumberFormat="1" applyFill="1" applyBorder="1"/>
    <xf numFmtId="0" fontId="9" fillId="8" borderId="7" xfId="0" applyNumberFormat="1" applyFill="1" applyBorder="1"/>
    <xf numFmtId="0" fontId="9" fillId="8" borderId="0" xfId="0" applyNumberFormat="1" applyFill="1"/>
    <xf numFmtId="0" fontId="9" fillId="8" borderId="8" xfId="0" applyNumberFormat="1" applyFill="1" applyBorder="1"/>
    <xf numFmtId="0" fontId="9" fillId="8" borderId="9" xfId="0" applyNumberFormat="1" applyFill="1" applyBorder="1"/>
    <xf numFmtId="0" fontId="9" fillId="8" borderId="10" xfId="0" applyNumberFormat="1" applyFill="1" applyBorder="1"/>
    <xf numFmtId="0" fontId="9" fillId="8" borderId="11" xfId="0" applyNumberFormat="1" applyFill="1" applyBorder="1"/>
    <xf numFmtId="0" fontId="9" fillId="8" borderId="4" xfId="0" applyNumberFormat="1" applyFill="1" applyBorder="1" applyAlignment="1">
      <alignment wrapText="1"/>
    </xf>
    <xf numFmtId="0" fontId="9" fillId="8" borderId="5" xfId="0" applyNumberFormat="1" applyFill="1" applyBorder="1" applyAlignment="1">
      <alignment wrapText="1"/>
    </xf>
    <xf numFmtId="0" fontId="9" fillId="8" borderId="6" xfId="0" applyNumberFormat="1" applyFill="1" applyBorder="1" applyAlignment="1">
      <alignment wrapText="1"/>
    </xf>
    <xf numFmtId="0" fontId="9" fillId="8" borderId="7" xfId="0" applyNumberFormat="1" applyFill="1" applyBorder="1" applyAlignment="1">
      <alignment wrapText="1"/>
    </xf>
    <xf numFmtId="0" fontId="9" fillId="8" borderId="0" xfId="0" applyNumberFormat="1" applyFill="1" applyAlignment="1">
      <alignment wrapText="1"/>
    </xf>
    <xf numFmtId="0" fontId="9" fillId="8" borderId="8" xfId="0" applyNumberFormat="1" applyFill="1" applyBorder="1" applyAlignment="1">
      <alignment wrapText="1"/>
    </xf>
    <xf numFmtId="0" fontId="9" fillId="8" borderId="9" xfId="0" applyNumberFormat="1" applyFill="1" applyBorder="1" applyAlignment="1">
      <alignment wrapText="1"/>
    </xf>
    <xf numFmtId="0" fontId="9" fillId="8" borderId="10" xfId="0" applyNumberFormat="1" applyFill="1" applyBorder="1" applyAlignment="1">
      <alignment wrapText="1"/>
    </xf>
    <xf numFmtId="0" fontId="9" fillId="8" borderId="11" xfId="0" applyNumberFormat="1" applyFill="1" applyBorder="1" applyAlignment="1">
      <alignment wrapText="1"/>
    </xf>
    <xf numFmtId="0" fontId="9" fillId="8" borderId="4" xfId="0" applyNumberFormat="1" applyFill="1" applyBorder="1" applyAlignment="1">
      <alignment horizontal="left" wrapText="1"/>
    </xf>
    <xf numFmtId="0" fontId="9" fillId="8" borderId="5" xfId="0" applyNumberFormat="1" applyFill="1" applyBorder="1" applyAlignment="1">
      <alignment horizontal="left" wrapText="1"/>
    </xf>
    <xf numFmtId="0" fontId="9" fillId="8" borderId="6" xfId="0" applyNumberFormat="1" applyFill="1" applyBorder="1" applyAlignment="1">
      <alignment horizontal="left" wrapText="1"/>
    </xf>
    <xf numFmtId="0" fontId="9" fillId="8" borderId="7" xfId="0" applyNumberFormat="1" applyFill="1" applyBorder="1" applyAlignment="1">
      <alignment horizontal="left" wrapText="1"/>
    </xf>
    <xf numFmtId="0" fontId="9" fillId="8" borderId="0" xfId="0" applyNumberFormat="1" applyFill="1" applyAlignment="1">
      <alignment horizontal="left" wrapText="1"/>
    </xf>
    <xf numFmtId="0" fontId="9" fillId="8" borderId="8" xfId="0" applyNumberFormat="1" applyFill="1" applyBorder="1" applyAlignment="1">
      <alignment horizontal="left" wrapText="1"/>
    </xf>
    <xf numFmtId="0" fontId="9" fillId="8" borderId="9" xfId="0" applyNumberFormat="1" applyFill="1" applyBorder="1" applyAlignment="1">
      <alignment horizontal="left" wrapText="1"/>
    </xf>
    <xf numFmtId="0" fontId="9" fillId="8" borderId="10" xfId="0" applyNumberFormat="1" applyFill="1" applyBorder="1" applyAlignment="1">
      <alignment horizontal="left" wrapText="1"/>
    </xf>
    <xf numFmtId="0" fontId="9" fillId="8" borderId="11" xfId="0" applyNumberFormat="1" applyFill="1" applyBorder="1" applyAlignment="1">
      <alignment horizontal="left" wrapText="1"/>
    </xf>
    <xf numFmtId="0" fontId="9" fillId="8" borderId="4" xfId="0" applyNumberFormat="1" applyFill="1" applyBorder="1" applyAlignment="1">
      <alignment horizontal="left" vertical="center" wrapText="1"/>
    </xf>
    <xf numFmtId="0" fontId="9" fillId="8" borderId="5" xfId="0" applyNumberFormat="1" applyFill="1" applyBorder="1" applyAlignment="1">
      <alignment horizontal="left" vertical="center" wrapText="1"/>
    </xf>
    <xf numFmtId="0" fontId="9" fillId="8" borderId="6" xfId="0" applyNumberFormat="1" applyFill="1" applyBorder="1" applyAlignment="1">
      <alignment horizontal="left" vertical="center" wrapText="1"/>
    </xf>
    <xf numFmtId="0" fontId="9" fillId="8" borderId="7" xfId="0" applyNumberFormat="1" applyFill="1" applyBorder="1" applyAlignment="1">
      <alignment horizontal="left" vertical="center" wrapText="1"/>
    </xf>
    <xf numFmtId="0" fontId="9" fillId="8" borderId="0" xfId="0" applyNumberFormat="1" applyFill="1" applyAlignment="1">
      <alignment horizontal="left" vertical="center" wrapText="1"/>
    </xf>
    <xf numFmtId="0" fontId="9" fillId="8" borderId="8" xfId="0" applyNumberFormat="1" applyFill="1" applyBorder="1" applyAlignment="1">
      <alignment horizontal="left" vertical="center" wrapText="1"/>
    </xf>
    <xf numFmtId="0" fontId="9" fillId="8" borderId="9" xfId="0" applyNumberFormat="1" applyFill="1" applyBorder="1" applyAlignment="1">
      <alignment horizontal="left" vertical="center" wrapText="1"/>
    </xf>
    <xf numFmtId="0" fontId="9" fillId="8" borderId="10" xfId="0" applyNumberFormat="1" applyFill="1" applyBorder="1" applyAlignment="1">
      <alignment horizontal="left" vertical="center" wrapText="1"/>
    </xf>
    <xf numFmtId="0" fontId="9" fillId="8" borderId="11" xfId="0" applyNumberFormat="1" applyFill="1" applyBorder="1" applyAlignment="1">
      <alignment horizontal="left" vertical="center" wrapText="1"/>
    </xf>
    <xf numFmtId="0" fontId="0" fillId="6" borderId="0" xfId="0" applyNumberFormat="1" applyFill="1" applyBorder="1" applyAlignment="1">
      <alignment vertical="center"/>
    </xf>
    <xf numFmtId="0" fontId="0" fillId="6" borderId="0" xfId="0" applyNumberFormat="1" applyFill="1" applyBorder="1" applyAlignment="1">
      <alignment horizontal="center" vertical="center"/>
    </xf>
    <xf numFmtId="64" fontId="0" fillId="0" borderId="0" xfId="0" applyNumberFormat="1" applyFill="1" applyBorder="1" applyAlignment="1">
      <alignment horizontal="center" vertical="center" wrapText="1"/>
    </xf>
    <xf numFmtId="65" fontId="0" fillId="0" borderId="0" xfId="0" applyNumberFormat="1"/>
    <xf numFmtId="65" fontId="3" fillId="3" borderId="0" xfId="0" applyNumberFormat="1" applyFill="1" applyBorder="1" applyAlignment="1">
      <alignment horizontal="center" vertical="center" wrapText="1"/>
    </xf>
    <xf numFmtId="65" fontId="0" fillId="0" borderId="0" xfId="0" applyNumberFormat="1" applyFill="1" applyBorder="1" applyAlignment="1">
      <alignment horizontal="center" vertical="center" wrapText="1"/>
    </xf>
    <xf numFmtId="65" fontId="0" fillId="0" borderId="0" xfId="0" applyNumberFormat="1" applyFill="1" applyBorder="1" applyAlignment="1">
      <alignment wrapText="1"/>
    </xf>
    <xf numFmtId="65" fontId="0" fillId="4" borderId="0" xfId="0" applyNumberFormat="1" applyFill="1" applyBorder="1" applyAlignment="1">
      <alignment wrapText="1"/>
    </xf>
    <xf numFmtId="65" fontId="0" fillId="5" borderId="0" xfId="0" applyNumberFormat="1" applyFill="1" applyBorder="1" applyAlignment="1">
      <alignment wrapText="1"/>
    </xf>
    <xf numFmtId="65" fontId="0" fillId="6" borderId="0" xfId="0" applyNumberFormat="1" applyFill="1" applyBorder="1" applyAlignment="1">
      <alignment wrapText="1"/>
    </xf>
    <xf numFmtId="0" fontId="0" fillId="5" borderId="0" xfId="0" applyNumberFormat="1" applyFill="1" applyBorder="1" applyAlignment="1">
      <alignment horizontal="center" vertical="center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1" builtinId="0"/>
    <cellStyle name="하이퍼링크" xfId="7" builtinId="8" hidden="1"/>
    <cellStyle name="Normal" xfId="0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opLeftCell="A85" tabSelected="1" workbookViewId="0">
      <selection activeCell="G114" sqref="G114"/>
    </sheetView>
  </sheetViews>
  <sheetFormatPr defaultRowHeight="15.000000"/>
  <cols>
    <col min="1" max="1" width="9.00500011" customWidth="1" outlineLevel="0"/>
    <col min="2" max="2" width="12.00500011" customWidth="1" outlineLevel="0"/>
    <col min="3" max="3" width="21.00499916" customWidth="1" outlineLevel="0"/>
    <col min="4" max="4" width="58.00500107" customWidth="1" outlineLevel="0"/>
    <col min="5" max="6" style="165" width="9.00500011" customWidth="1" outlineLevel="0"/>
    <col min="7" max="8" width="10.00500011" customWidth="1" outlineLevel="0"/>
    <col min="9" max="9" width="18.00499916" customWidth="1" outlineLevel="0"/>
  </cols>
  <sheetData>
    <row r="1" spans="1:9" ht="30.000000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ht="24.000000" customHeight="1">
      <c r="A3" s="8" t="s">
        <v>1</v>
      </c>
      <c r="B3" s="8"/>
      <c r="C3" s="8"/>
      <c r="D3" s="8"/>
      <c r="E3" s="8"/>
      <c r="F3" s="8"/>
      <c r="G3" s="8"/>
      <c r="H3" s="8"/>
      <c r="I3" s="8"/>
    </row>
    <row r="4" spans="1:9" ht="24.000000" customHeight="1">
      <c r="A4" s="46" t="s">
        <v>2</v>
      </c>
      <c r="B4" s="47"/>
      <c r="C4" s="46" t="s">
        <v>3</v>
      </c>
      <c r="D4" s="50"/>
      <c r="E4" s="47"/>
      <c r="F4" s="46" t="s">
        <v>4</v>
      </c>
      <c r="G4" s="50"/>
      <c r="H4" s="50"/>
      <c r="I4" s="47"/>
    </row>
    <row r="5" spans="1:9" ht="28.000000" customHeight="1">
      <c r="A5" s="64" t="s">
        <v>5</v>
      </c>
      <c r="B5" s="65"/>
      <c r="C5" s="77" t="s">
        <v>6</v>
      </c>
      <c r="D5" s="78"/>
      <c r="E5" s="79"/>
      <c r="F5" s="101" t="s">
        <v>7</v>
      </c>
      <c r="G5" s="102"/>
      <c r="H5" s="122">
        <f>COUNTIF(H14:H36,"완료")</f>
        <v>13</v>
      </c>
      <c r="I5" s="123"/>
    </row>
    <row r="6" spans="1:9" ht="28.000000" customHeight="1">
      <c r="A6" s="64" t="s">
        <v>8</v>
      </c>
      <c r="B6" s="65"/>
      <c r="C6" s="77" t="s">
        <v>188</v>
      </c>
      <c r="D6" s="84"/>
      <c r="E6" s="79"/>
      <c r="F6" s="108" t="s">
        <v>10</v>
      </c>
      <c r="G6" s="109"/>
      <c r="H6" s="122">
        <f>COUNTIF(H14:H36,"진행중")</f>
        <v>1</v>
      </c>
      <c r="I6" s="123"/>
    </row>
    <row r="7" spans="1:9" ht="28.000000" customHeight="1">
      <c r="A7" s="64" t="s">
        <v>11</v>
      </c>
      <c r="B7" s="65"/>
      <c r="C7" s="77" t="s">
        <v>12</v>
      </c>
      <c r="D7" s="89"/>
      <c r="E7" s="79"/>
      <c r="F7" s="115" t="s">
        <v>13</v>
      </c>
      <c r="G7" s="116"/>
      <c r="H7" s="122">
        <f>COUNTIF(H14:H36,"예정")</f>
        <v>9</v>
      </c>
      <c r="I7" s="123"/>
    </row>
    <row r="8" spans="1:9" ht="28.000000" customHeight="1">
      <c r="A8" s="64" t="s">
        <v>14</v>
      </c>
      <c r="B8" s="65"/>
      <c r="C8" s="77" t="s">
        <v>15</v>
      </c>
      <c r="D8" s="95"/>
      <c r="E8" s="79"/>
      <c r="F8" s="153" t="s">
        <v>16</v>
      </c>
      <c r="G8" s="154"/>
      <c r="H8" s="154"/>
      <c r="I8" s="155"/>
    </row>
    <row r="9" spans="1:9" ht="42.000000" customHeight="1">
      <c r="A9" s="64" t="s">
        <v>17</v>
      </c>
      <c r="B9" s="65"/>
      <c r="C9" s="77" t="s">
        <v>18</v>
      </c>
      <c r="D9" s="95"/>
      <c r="E9" s="79"/>
      <c r="F9" s="156"/>
      <c r="G9" s="157"/>
      <c r="H9" s="157"/>
      <c r="I9" s="158"/>
    </row>
    <row r="10" spans="1:9" ht="42.000000" customHeight="1">
      <c r="A10" s="64" t="s">
        <v>19</v>
      </c>
      <c r="B10" s="65"/>
      <c r="C10" s="77" t="s">
        <v>20</v>
      </c>
      <c r="D10" s="95"/>
      <c r="E10" s="79"/>
      <c r="F10" s="159"/>
      <c r="G10" s="160"/>
      <c r="H10" s="160"/>
      <c r="I10" s="161"/>
    </row>
    <row r="12" spans="1:9" ht="24.000000" customHeight="1">
      <c r="A12" s="8" t="s">
        <v>21</v>
      </c>
      <c r="B12" s="8"/>
      <c r="C12" s="8"/>
      <c r="D12" s="8"/>
      <c r="E12" s="8"/>
      <c r="F12" s="8"/>
      <c r="G12" s="8"/>
      <c r="H12" s="8"/>
      <c r="I12" s="8"/>
    </row>
    <row r="13" spans="1:9" ht="24.000000" customHeight="1">
      <c r="A13" s="13" t="s">
        <v>22</v>
      </c>
      <c r="B13" s="13" t="s">
        <v>23</v>
      </c>
      <c r="C13" s="13" t="s">
        <v>24</v>
      </c>
      <c r="D13" s="13" t="s">
        <v>25</v>
      </c>
      <c r="E13" s="166" t="s">
        <v>26</v>
      </c>
      <c r="F13" s="166" t="s">
        <v>27</v>
      </c>
      <c r="G13" s="13" t="s">
        <v>28</v>
      </c>
      <c r="H13" s="13" t="s">
        <v>29</v>
      </c>
      <c r="I13" s="13" t="s">
        <v>30</v>
      </c>
    </row>
    <row r="14" spans="1:9" ht="30.000000" customHeight="1">
      <c r="A14" s="23" t="s">
        <v>31</v>
      </c>
      <c r="B14" s="23" t="s">
        <v>32</v>
      </c>
      <c r="C14" s="24" t="s">
        <v>33</v>
      </c>
      <c r="D14" s="24" t="s">
        <v>34</v>
      </c>
      <c r="E14" s="167" t="s">
        <v>35</v>
      </c>
      <c r="F14" s="167" t="s">
        <v>35</v>
      </c>
      <c r="G14" s="23" t="s">
        <v>36</v>
      </c>
      <c r="H14" s="25" t="s">
        <v>7</v>
      </c>
      <c r="I14" s="22" t="s">
        <v>37</v>
      </c>
    </row>
    <row r="15" spans="1:9" ht="30.000000" customHeight="1">
      <c r="A15" s="23" t="s">
        <v>38</v>
      </c>
      <c r="B15" s="23" t="s">
        <v>32</v>
      </c>
      <c r="C15" s="24" t="s">
        <v>39</v>
      </c>
      <c r="D15" s="24" t="s">
        <v>40</v>
      </c>
      <c r="E15" s="167" t="s">
        <v>35</v>
      </c>
      <c r="F15" s="167" t="s">
        <v>35</v>
      </c>
      <c r="G15" s="23" t="s">
        <v>36</v>
      </c>
      <c r="H15" s="25" t="s">
        <v>7</v>
      </c>
      <c r="I15" s="22" t="s">
        <v>41</v>
      </c>
    </row>
    <row r="16" spans="1:9" ht="30.000000" customHeight="1">
      <c r="A16" s="23" t="s">
        <v>42</v>
      </c>
      <c r="B16" s="23" t="s">
        <v>32</v>
      </c>
      <c r="C16" s="24" t="s">
        <v>43</v>
      </c>
      <c r="D16" s="24" t="s">
        <v>44</v>
      </c>
      <c r="E16" s="167" t="s">
        <v>35</v>
      </c>
      <c r="F16" s="167" t="s">
        <v>35</v>
      </c>
      <c r="G16" s="23" t="s">
        <v>36</v>
      </c>
      <c r="H16" s="25" t="s">
        <v>7</v>
      </c>
      <c r="I16" s="22" t="s">
        <v>45</v>
      </c>
    </row>
    <row r="17" spans="1:9" ht="30.000000" customHeight="1">
      <c r="A17" s="23" t="s">
        <v>46</v>
      </c>
      <c r="B17" s="23" t="s">
        <v>47</v>
      </c>
      <c r="C17" s="24" t="s">
        <v>48</v>
      </c>
      <c r="D17" s="24" t="s">
        <v>49</v>
      </c>
      <c r="E17" s="167" t="s">
        <v>35</v>
      </c>
      <c r="F17" s="167" t="s">
        <v>50</v>
      </c>
      <c r="G17" s="23" t="s">
        <v>36</v>
      </c>
      <c r="H17" s="25" t="s">
        <v>7</v>
      </c>
      <c r="I17" s="22" t="s">
        <v>52</v>
      </c>
    </row>
    <row r="18" spans="1:9" ht="30.000000" customHeight="1">
      <c r="A18" s="23" t="s">
        <v>53</v>
      </c>
      <c r="B18" s="23" t="s">
        <v>47</v>
      </c>
      <c r="C18" s="24" t="s">
        <v>54</v>
      </c>
      <c r="D18" s="24" t="s">
        <v>55</v>
      </c>
      <c r="E18" s="167" t="s">
        <v>35</v>
      </c>
      <c r="F18" s="167" t="s">
        <v>50</v>
      </c>
      <c r="G18" s="23" t="s">
        <v>36</v>
      </c>
      <c r="H18" s="25" t="s">
        <v>7</v>
      </c>
      <c r="I18" s="22" t="s">
        <v>56</v>
      </c>
    </row>
    <row r="19" spans="1:9" ht="30.000000" customHeight="1">
      <c r="A19" s="23" t="s">
        <v>57</v>
      </c>
      <c r="B19" s="23" t="s">
        <v>47</v>
      </c>
      <c r="C19" s="24" t="s">
        <v>58</v>
      </c>
      <c r="D19" s="24" t="s">
        <v>59</v>
      </c>
      <c r="E19" s="167" t="s">
        <v>35</v>
      </c>
      <c r="F19" s="167" t="s">
        <v>50</v>
      </c>
      <c r="G19" s="23" t="s">
        <v>36</v>
      </c>
      <c r="H19" s="25" t="s">
        <v>7</v>
      </c>
      <c r="I19" s="22" t="s">
        <v>60</v>
      </c>
    </row>
    <row r="20" spans="1:9" ht="30.000000" customHeight="1">
      <c r="A20" s="23" t="s">
        <v>61</v>
      </c>
      <c r="B20" s="23" t="s">
        <v>62</v>
      </c>
      <c r="C20" s="24" t="s">
        <v>63</v>
      </c>
      <c r="D20" s="24" t="s">
        <v>64</v>
      </c>
      <c r="E20" s="167" t="s">
        <v>50</v>
      </c>
      <c r="F20" s="167" t="s">
        <v>65</v>
      </c>
      <c r="G20" s="23" t="s">
        <v>51</v>
      </c>
      <c r="H20" s="25" t="s">
        <v>7</v>
      </c>
      <c r="I20" s="22" t="s">
        <v>66</v>
      </c>
    </row>
    <row r="21" spans="1:9" ht="30.000000" customHeight="1">
      <c r="A21" s="23" t="s">
        <v>67</v>
      </c>
      <c r="B21" s="23" t="s">
        <v>62</v>
      </c>
      <c r="C21" s="24" t="s">
        <v>68</v>
      </c>
      <c r="D21" s="24" t="s">
        <v>69</v>
      </c>
      <c r="E21" s="167" t="s">
        <v>65</v>
      </c>
      <c r="F21" s="167" t="s">
        <v>65</v>
      </c>
      <c r="G21" s="23" t="s">
        <v>51</v>
      </c>
      <c r="H21" s="25" t="s">
        <v>7</v>
      </c>
      <c r="I21" s="22" t="s">
        <v>70</v>
      </c>
    </row>
    <row r="22" spans="1:9" ht="30.000000" customHeight="1">
      <c r="A22" s="23" t="s">
        <v>71</v>
      </c>
      <c r="B22" s="23" t="s">
        <v>62</v>
      </c>
      <c r="C22" s="24" t="s">
        <v>72</v>
      </c>
      <c r="D22" s="24" t="s">
        <v>73</v>
      </c>
      <c r="E22" s="167" t="s">
        <v>50</v>
      </c>
      <c r="F22" s="167" t="s">
        <v>65</v>
      </c>
      <c r="G22" s="23" t="s">
        <v>51</v>
      </c>
      <c r="H22" s="25" t="s">
        <v>7</v>
      </c>
      <c r="I22" s="22" t="s">
        <v>74</v>
      </c>
    </row>
    <row r="23" spans="1:9" ht="30.000000" customHeight="1">
      <c r="A23" s="23" t="s">
        <v>75</v>
      </c>
      <c r="B23" s="23" t="s">
        <v>62</v>
      </c>
      <c r="C23" s="24" t="s">
        <v>76</v>
      </c>
      <c r="D23" s="24" t="s">
        <v>77</v>
      </c>
      <c r="E23" s="167" t="s">
        <v>65</v>
      </c>
      <c r="F23" s="167" t="s">
        <v>65</v>
      </c>
      <c r="G23" s="23" t="s">
        <v>51</v>
      </c>
      <c r="H23" s="25" t="s">
        <v>7</v>
      </c>
      <c r="I23" s="22" t="s">
        <v>78</v>
      </c>
    </row>
    <row r="24" spans="1:9" ht="30.000000" customHeight="1">
      <c r="A24" s="23" t="s">
        <v>79</v>
      </c>
      <c r="B24" s="23" t="s">
        <v>80</v>
      </c>
      <c r="C24" s="24" t="s">
        <v>81</v>
      </c>
      <c r="D24" s="24" t="s">
        <v>82</v>
      </c>
      <c r="E24" s="167" t="s">
        <v>83</v>
      </c>
      <c r="F24" s="167">
        <v>46258</v>
      </c>
      <c r="G24" s="23" t="s">
        <v>51</v>
      </c>
      <c r="H24" s="25" t="s">
        <v>7</v>
      </c>
      <c r="I24" s="22" t="s">
        <v>84</v>
      </c>
    </row>
    <row r="25" spans="1:9" ht="30.000000" customHeight="1">
      <c r="A25" s="23" t="s">
        <v>85</v>
      </c>
      <c r="B25" s="23" t="s">
        <v>80</v>
      </c>
      <c r="C25" s="24" t="s">
        <v>86</v>
      </c>
      <c r="D25" s="24" t="s">
        <v>87</v>
      </c>
      <c r="E25" s="167" t="s">
        <v>83</v>
      </c>
      <c r="F25" s="167" t="s">
        <v>88</v>
      </c>
      <c r="G25" s="23" t="s">
        <v>51</v>
      </c>
      <c r="H25" s="25" t="s">
        <v>7</v>
      </c>
      <c r="I25" s="22" t="s">
        <v>89</v>
      </c>
    </row>
    <row r="26" spans="1:9" ht="30.000000" customHeight="1">
      <c r="A26" s="23" t="s">
        <v>90</v>
      </c>
      <c r="B26" s="23" t="s">
        <v>80</v>
      </c>
      <c r="C26" s="24" t="s">
        <v>91</v>
      </c>
      <c r="D26" s="24" t="s">
        <v>92</v>
      </c>
      <c r="E26" s="167">
        <v>46258</v>
      </c>
      <c r="F26" s="167" t="s">
        <v>88</v>
      </c>
      <c r="G26" s="23" t="s">
        <v>51</v>
      </c>
      <c r="H26" s="25" t="s">
        <v>7</v>
      </c>
      <c r="I26" s="22" t="s">
        <v>93</v>
      </c>
    </row>
    <row r="27" spans="1:9" ht="30.000000" customHeight="1">
      <c r="A27" s="23" t="s">
        <v>94</v>
      </c>
      <c r="B27" s="23" t="s">
        <v>95</v>
      </c>
      <c r="C27" s="24" t="s">
        <v>96</v>
      </c>
      <c r="D27" s="24" t="s">
        <v>189</v>
      </c>
      <c r="E27" s="167">
        <v>46259</v>
      </c>
      <c r="F27" s="167" t="s">
        <v>51</v>
      </c>
      <c r="G27" s="23" t="s">
        <v>51</v>
      </c>
      <c r="H27" s="26" t="s">
        <v>10</v>
      </c>
      <c r="I27" s="22" t="s">
        <v>99</v>
      </c>
    </row>
    <row r="28" spans="1:9" ht="30.000000" customHeight="1">
      <c r="A28" s="23" t="s">
        <v>100</v>
      </c>
      <c r="B28" s="23" t="s">
        <v>95</v>
      </c>
      <c r="C28" s="24" t="s">
        <v>101</v>
      </c>
      <c r="D28" s="24" t="s">
        <v>190</v>
      </c>
      <c r="E28" s="167" t="s">
        <v>51</v>
      </c>
      <c r="F28" s="167" t="s">
        <v>51</v>
      </c>
      <c r="G28" s="23" t="s">
        <v>51</v>
      </c>
      <c r="H28" s="27" t="s">
        <v>13</v>
      </c>
      <c r="I28" s="22" t="s">
        <v>103</v>
      </c>
    </row>
    <row r="29" spans="1:9" ht="30.000000" customHeight="1">
      <c r="A29" s="23" t="s">
        <v>104</v>
      </c>
      <c r="B29" s="23" t="s">
        <v>95</v>
      </c>
      <c r="C29" s="24" t="s">
        <v>105</v>
      </c>
      <c r="D29" s="24" t="s">
        <v>191</v>
      </c>
      <c r="E29" s="167" t="s">
        <v>51</v>
      </c>
      <c r="F29" s="167" t="s">
        <v>51</v>
      </c>
      <c r="G29" s="23" t="s">
        <v>51</v>
      </c>
      <c r="H29" s="27" t="s">
        <v>13</v>
      </c>
      <c r="I29" s="22" t="s">
        <v>107</v>
      </c>
    </row>
    <row r="30" spans="1:9" ht="30.000000" customHeight="1">
      <c r="A30" s="23" t="s">
        <v>108</v>
      </c>
      <c r="B30" s="23" t="s">
        <v>109</v>
      </c>
      <c r="C30" s="24" t="s">
        <v>110</v>
      </c>
      <c r="D30" s="24" t="s">
        <v>111</v>
      </c>
      <c r="E30" s="167" t="s">
        <v>51</v>
      </c>
      <c r="F30" s="167" t="s">
        <v>51</v>
      </c>
      <c r="G30" s="23" t="s">
        <v>36</v>
      </c>
      <c r="H30" s="27" t="s">
        <v>13</v>
      </c>
      <c r="I30" s="22" t="s">
        <v>84</v>
      </c>
    </row>
    <row r="31" spans="1:9" ht="30.000000" customHeight="1">
      <c r="A31" s="23" t="s">
        <v>112</v>
      </c>
      <c r="B31" s="23" t="s">
        <v>109</v>
      </c>
      <c r="C31" s="24" t="s">
        <v>113</v>
      </c>
      <c r="D31" s="24" t="s">
        <v>114</v>
      </c>
      <c r="E31" s="167" t="s">
        <v>51</v>
      </c>
      <c r="F31" s="167" t="s">
        <v>51</v>
      </c>
      <c r="G31" s="23" t="s">
        <v>36</v>
      </c>
      <c r="H31" s="27" t="s">
        <v>13</v>
      </c>
      <c r="I31" s="22" t="s">
        <v>115</v>
      </c>
    </row>
    <row r="32" spans="1:9" ht="30.000000" customHeight="1">
      <c r="A32" s="23" t="s">
        <v>116</v>
      </c>
      <c r="B32" s="23" t="s">
        <v>117</v>
      </c>
      <c r="C32" s="24" t="s">
        <v>118</v>
      </c>
      <c r="D32" s="24" t="s">
        <v>119</v>
      </c>
      <c r="E32" s="167" t="s">
        <v>51</v>
      </c>
      <c r="F32" s="167" t="s">
        <v>51</v>
      </c>
      <c r="G32" s="23" t="s">
        <v>36</v>
      </c>
      <c r="H32" s="27" t="s">
        <v>13</v>
      </c>
      <c r="I32" s="22" t="s">
        <v>120</v>
      </c>
    </row>
    <row r="33" spans="1:9" ht="30.000000" customHeight="1">
      <c r="A33" s="23" t="s">
        <v>121</v>
      </c>
      <c r="B33" s="23" t="s">
        <v>117</v>
      </c>
      <c r="C33" s="24" t="s">
        <v>122</v>
      </c>
      <c r="D33" s="24" t="s">
        <v>123</v>
      </c>
      <c r="E33" s="167" t="s">
        <v>51</v>
      </c>
      <c r="F33" s="167" t="s">
        <v>51</v>
      </c>
      <c r="G33" s="23" t="s">
        <v>36</v>
      </c>
      <c r="H33" s="27" t="s">
        <v>13</v>
      </c>
      <c r="I33" s="22" t="s">
        <v>124</v>
      </c>
    </row>
    <row r="34" spans="1:9" ht="30.000000" customHeight="1">
      <c r="A34" s="23" t="s">
        <v>125</v>
      </c>
      <c r="B34" s="23" t="s">
        <v>117</v>
      </c>
      <c r="C34" s="24" t="s">
        <v>126</v>
      </c>
      <c r="D34" s="24" t="s">
        <v>127</v>
      </c>
      <c r="E34" s="167" t="s">
        <v>51</v>
      </c>
      <c r="F34" s="167" t="s">
        <v>51</v>
      </c>
      <c r="G34" s="23" t="s">
        <v>36</v>
      </c>
      <c r="H34" s="27" t="s">
        <v>13</v>
      </c>
      <c r="I34" s="22" t="s">
        <v>128</v>
      </c>
    </row>
    <row r="35" spans="1:9" ht="30.000000" customHeight="1">
      <c r="A35" s="23" t="s">
        <v>129</v>
      </c>
      <c r="B35" s="23" t="s">
        <v>7</v>
      </c>
      <c r="C35" s="24" t="s">
        <v>130</v>
      </c>
      <c r="D35" s="24" t="s">
        <v>131</v>
      </c>
      <c r="E35" s="167" t="s">
        <v>51</v>
      </c>
      <c r="F35" s="167" t="s">
        <v>51</v>
      </c>
      <c r="G35" s="23" t="s">
        <v>36</v>
      </c>
      <c r="H35" s="27" t="s">
        <v>13</v>
      </c>
      <c r="I35" s="22" t="s">
        <v>120</v>
      </c>
    </row>
    <row r="36" spans="1:9" ht="30.000000" customHeight="1">
      <c r="A36" s="23" t="s">
        <v>132</v>
      </c>
      <c r="B36" s="23" t="s">
        <v>7</v>
      </c>
      <c r="C36" s="24" t="s">
        <v>133</v>
      </c>
      <c r="D36" s="24" t="s">
        <v>134</v>
      </c>
      <c r="E36" s="167" t="s">
        <v>51</v>
      </c>
      <c r="F36" s="167" t="s">
        <v>51</v>
      </c>
      <c r="G36" s="23" t="s">
        <v>36</v>
      </c>
      <c r="H36" s="27" t="s">
        <v>13</v>
      </c>
      <c r="I36" s="22" t="s">
        <v>133</v>
      </c>
    </row>
    <row r="38" spans="1:9" ht="24.000000" customHeight="1">
      <c r="A38" s="8" t="s">
        <v>135</v>
      </c>
      <c r="B38" s="8"/>
      <c r="C38" s="8"/>
      <c r="D38" s="8"/>
      <c r="E38" s="8"/>
      <c r="F38" s="8"/>
      <c r="G38" s="8"/>
      <c r="H38" s="8"/>
      <c r="I38" s="8"/>
    </row>
    <row r="39" spans="1:9" ht="24.000000" customHeight="1">
      <c r="A39" s="13" t="s">
        <v>22</v>
      </c>
      <c r="B39" s="13" t="s">
        <v>24</v>
      </c>
      <c r="C39" s="13" t="s">
        <v>136</v>
      </c>
      <c r="D39" s="13" t="s">
        <v>137</v>
      </c>
      <c r="E39" s="166" t="s">
        <v>28</v>
      </c>
      <c r="F39" s="166" t="s">
        <v>29</v>
      </c>
    </row>
    <row r="40" spans="1:9" ht="26.400000">
      <c r="A40" s="14" t="s">
        <v>31</v>
      </c>
      <c r="B40" s="14" t="s">
        <v>33</v>
      </c>
      <c r="C40" s="14" t="s">
        <v>35</v>
      </c>
      <c r="D40" s="14" t="s">
        <v>51</v>
      </c>
      <c r="E40" s="168" t="s">
        <v>36</v>
      </c>
      <c r="F40" s="169" t="s">
        <v>7</v>
      </c>
    </row>
    <row r="41" spans="1:9">
      <c r="A41" s="14" t="s">
        <v>46</v>
      </c>
      <c r="B41" s="14" t="s">
        <v>48</v>
      </c>
      <c r="C41" s="14" t="s">
        <v>138</v>
      </c>
      <c r="D41" s="14" t="s">
        <v>51</v>
      </c>
      <c r="E41" s="168" t="s">
        <v>36</v>
      </c>
      <c r="F41" s="169" t="s">
        <v>7</v>
      </c>
    </row>
    <row r="42" spans="1:9" ht="26.400000">
      <c r="A42" s="14" t="s">
        <v>61</v>
      </c>
      <c r="B42" s="14" t="s">
        <v>63</v>
      </c>
      <c r="C42" s="14" t="s">
        <v>139</v>
      </c>
      <c r="D42" s="14" t="s">
        <v>51</v>
      </c>
      <c r="E42" s="168" t="s">
        <v>51</v>
      </c>
      <c r="F42" s="169" t="s">
        <v>7</v>
      </c>
    </row>
    <row r="43" spans="1:9">
      <c r="A43" s="14" t="s">
        <v>79</v>
      </c>
      <c r="B43" s="14" t="s">
        <v>81</v>
      </c>
      <c r="C43" s="14" t="s">
        <v>140</v>
      </c>
      <c r="D43" s="14" t="s">
        <v>51</v>
      </c>
      <c r="E43" s="168" t="s">
        <v>51</v>
      </c>
      <c r="F43" s="170" t="s">
        <v>10</v>
      </c>
    </row>
    <row r="44" spans="1:9" ht="26.400000">
      <c r="A44" s="14" t="s">
        <v>94</v>
      </c>
      <c r="B44" s="14" t="s">
        <v>96</v>
      </c>
      <c r="C44" s="14" t="s">
        <v>13</v>
      </c>
      <c r="D44" s="14" t="s">
        <v>51</v>
      </c>
      <c r="E44" s="168" t="s">
        <v>51</v>
      </c>
      <c r="F44" s="171" t="s">
        <v>13</v>
      </c>
    </row>
    <row r="45" spans="1:9">
      <c r="A45" s="14" t="s">
        <v>108</v>
      </c>
      <c r="B45" s="14" t="s">
        <v>110</v>
      </c>
      <c r="C45" s="14" t="s">
        <v>13</v>
      </c>
      <c r="D45" s="14" t="s">
        <v>51</v>
      </c>
      <c r="E45" s="168" t="s">
        <v>36</v>
      </c>
      <c r="F45" s="171" t="s">
        <v>13</v>
      </c>
    </row>
    <row r="46" spans="1:9">
      <c r="A46" s="14" t="s">
        <v>116</v>
      </c>
      <c r="B46" s="14" t="s">
        <v>118</v>
      </c>
      <c r="C46" s="14" t="s">
        <v>13</v>
      </c>
      <c r="D46" s="14" t="s">
        <v>51</v>
      </c>
      <c r="E46" s="168" t="s">
        <v>36</v>
      </c>
      <c r="F46" s="171" t="s">
        <v>13</v>
      </c>
    </row>
    <row r="47" spans="1:9" ht="26.400000">
      <c r="A47" s="14" t="s">
        <v>129</v>
      </c>
      <c r="B47" s="14" t="s">
        <v>142</v>
      </c>
      <c r="C47" s="14" t="s">
        <v>13</v>
      </c>
      <c r="D47" s="14" t="s">
        <v>51</v>
      </c>
      <c r="E47" s="168" t="s">
        <v>36</v>
      </c>
      <c r="F47" s="171" t="s">
        <v>13</v>
      </c>
    </row>
    <row r="49" spans="1:9" ht="24.000000" customHeight="1">
      <c r="A49" s="8" t="s">
        <v>143</v>
      </c>
      <c r="B49" s="8"/>
      <c r="C49" s="8"/>
      <c r="D49" s="8"/>
      <c r="E49" s="8"/>
      <c r="F49" s="8"/>
      <c r="G49" s="8"/>
      <c r="H49" s="8"/>
      <c r="I49" s="8"/>
    </row>
    <row r="50" spans="1:9" ht="24.000000" customHeight="1">
      <c r="A50" s="13" t="s">
        <v>144</v>
      </c>
      <c r="B50" s="13" t="s">
        <v>145</v>
      </c>
      <c r="C50" s="13" t="s">
        <v>146</v>
      </c>
      <c r="D50" s="13" t="s">
        <v>147</v>
      </c>
      <c r="E50" s="166" t="s">
        <v>11</v>
      </c>
      <c r="F50" s="166" t="s">
        <v>29</v>
      </c>
    </row>
    <row r="51" spans="1:9" ht="26.400000">
      <c r="A51" s="14" t="s">
        <v>148</v>
      </c>
      <c r="B51" s="14" t="s">
        <v>149</v>
      </c>
      <c r="C51" s="14" t="s">
        <v>46</v>
      </c>
      <c r="D51" s="14" t="s">
        <v>150</v>
      </c>
      <c r="E51" s="168" t="s">
        <v>51</v>
      </c>
      <c r="F51" s="169" t="s">
        <v>7</v>
      </c>
    </row>
    <row r="52" spans="1:9" ht="26.400000">
      <c r="A52" s="14" t="s">
        <v>151</v>
      </c>
      <c r="B52" s="14" t="s">
        <v>152</v>
      </c>
      <c r="C52" s="14" t="s">
        <v>61</v>
      </c>
      <c r="D52" s="14" t="s">
        <v>150</v>
      </c>
      <c r="E52" s="168" t="s">
        <v>51</v>
      </c>
      <c r="F52" s="169" t="s">
        <v>7</v>
      </c>
    </row>
    <row r="53" spans="1:9" ht="26.400000">
      <c r="A53" s="14" t="s">
        <v>153</v>
      </c>
      <c r="B53" s="14" t="s">
        <v>154</v>
      </c>
      <c r="C53" s="14" t="s">
        <v>79</v>
      </c>
      <c r="D53" s="14" t="s">
        <v>155</v>
      </c>
      <c r="E53" s="168" t="s">
        <v>51</v>
      </c>
      <c r="F53" s="170" t="s">
        <v>10</v>
      </c>
    </row>
    <row r="54" spans="1:9" ht="26.400000">
      <c r="A54" s="14" t="s">
        <v>156</v>
      </c>
      <c r="B54" s="14" t="s">
        <v>157</v>
      </c>
      <c r="C54" s="14" t="s">
        <v>94</v>
      </c>
      <c r="D54" s="14" t="s">
        <v>103</v>
      </c>
      <c r="E54" s="168" t="s">
        <v>51</v>
      </c>
      <c r="F54" s="171" t="s">
        <v>13</v>
      </c>
    </row>
    <row r="55" spans="1:9">
      <c r="A55" s="14" t="s">
        <v>158</v>
      </c>
      <c r="B55" s="14" t="s">
        <v>159</v>
      </c>
      <c r="C55" s="14" t="s">
        <v>121</v>
      </c>
      <c r="D55" s="14" t="s">
        <v>160</v>
      </c>
      <c r="E55" s="168" t="s">
        <v>36</v>
      </c>
      <c r="F55" s="171" t="s">
        <v>13</v>
      </c>
    </row>
    <row r="56" spans="1:9">
      <c r="A56" s="14" t="s">
        <v>161</v>
      </c>
      <c r="B56" s="14" t="s">
        <v>126</v>
      </c>
      <c r="C56" s="14" t="s">
        <v>125</v>
      </c>
      <c r="D56" s="14" t="s">
        <v>162</v>
      </c>
      <c r="E56" s="168" t="s">
        <v>36</v>
      </c>
      <c r="F56" s="171" t="s">
        <v>13</v>
      </c>
    </row>
    <row r="58" spans="1:9" ht="24.000000" customHeight="1">
      <c r="A58" s="8" t="s">
        <v>163</v>
      </c>
      <c r="B58" s="8"/>
      <c r="C58" s="8"/>
      <c r="D58" s="8"/>
      <c r="E58" s="8"/>
      <c r="F58" s="8"/>
      <c r="G58" s="8"/>
      <c r="H58" s="8"/>
      <c r="I58" s="8"/>
    </row>
    <row r="59" spans="1:9" ht="24.000000" customHeight="1">
      <c r="A59" s="13" t="s">
        <v>29</v>
      </c>
      <c r="B59" s="13" t="s">
        <v>164</v>
      </c>
    </row>
    <row r="60" spans="1:9">
      <c r="A60" s="17" t="s">
        <v>13</v>
      </c>
      <c r="B60" s="1" t="s">
        <v>165</v>
      </c>
    </row>
    <row r="61" spans="1:9">
      <c r="A61" s="16" t="s">
        <v>10</v>
      </c>
      <c r="B61" s="1" t="s">
        <v>166</v>
      </c>
    </row>
    <row r="62" spans="1:9">
      <c r="A62" s="15" t="s">
        <v>7</v>
      </c>
      <c r="B62" s="1" t="s">
        <v>167</v>
      </c>
    </row>
    <row r="63" spans="1:9">
      <c r="A63" s="31" t="s">
        <v>168</v>
      </c>
      <c r="B63" s="1" t="s">
        <v>169</v>
      </c>
    </row>
    <row r="65" spans="1:9" ht="24.000000" customHeight="1">
      <c r="A65" s="8" t="s">
        <v>170</v>
      </c>
      <c r="B65" s="8"/>
      <c r="C65" s="8"/>
      <c r="D65" s="8"/>
      <c r="E65" s="8"/>
      <c r="F65" s="8"/>
      <c r="G65" s="8"/>
      <c r="H65" s="8"/>
      <c r="I65" s="8"/>
    </row>
    <row r="66" spans="1:9" ht="18.000000" customHeight="1">
      <c r="A66" s="34" t="s">
        <v>32</v>
      </c>
      <c r="B66" s="34"/>
      <c r="C66" s="34"/>
      <c r="D66" s="34"/>
      <c r="E66" s="34"/>
      <c r="F66" s="34"/>
      <c r="G66" s="34"/>
      <c r="H66" s="34"/>
      <c r="I66" s="34"/>
    </row>
    <row r="67" spans="1:9" ht="18.000000" customHeight="1">
      <c r="A67" s="37" t="s">
        <v>171</v>
      </c>
      <c r="B67" s="37"/>
      <c r="C67" s="37"/>
      <c r="D67" s="37"/>
      <c r="E67" s="37"/>
      <c r="F67" s="37"/>
      <c r="G67" s="37"/>
      <c r="H67" s="37"/>
      <c r="I67" s="37"/>
    </row>
    <row r="68" spans="1:9" ht="18.000000" customHeight="1">
      <c r="A68" s="34" t="s">
        <v>48</v>
      </c>
      <c r="B68" s="34"/>
      <c r="C68" s="34"/>
      <c r="D68" s="34"/>
      <c r="E68" s="34"/>
      <c r="F68" s="34"/>
      <c r="G68" s="34"/>
      <c r="H68" s="34"/>
      <c r="I68" s="34"/>
    </row>
    <row r="69" spans="1:9" ht="18.000000" customHeight="1">
      <c r="A69" s="37" t="s">
        <v>171</v>
      </c>
      <c r="B69" s="37"/>
      <c r="C69" s="37"/>
      <c r="D69" s="37"/>
      <c r="E69" s="37"/>
      <c r="F69" s="37"/>
      <c r="G69" s="37"/>
      <c r="H69" s="37"/>
      <c r="I69" s="37"/>
    </row>
    <row r="70" spans="1:9" ht="18.000000" customHeight="1">
      <c r="A70" s="34" t="s">
        <v>63</v>
      </c>
      <c r="B70" s="34"/>
      <c r="C70" s="34"/>
      <c r="D70" s="34"/>
      <c r="E70" s="34"/>
      <c r="F70" s="34"/>
      <c r="G70" s="34"/>
      <c r="H70" s="34"/>
      <c r="I70" s="34"/>
    </row>
    <row r="71" spans="1:9" ht="18.000000" customHeight="1">
      <c r="A71" s="37" t="s">
        <v>171</v>
      </c>
      <c r="B71" s="37"/>
      <c r="C71" s="37"/>
      <c r="D71" s="37"/>
      <c r="E71" s="37"/>
      <c r="F71" s="37"/>
      <c r="G71" s="37"/>
      <c r="H71" s="37"/>
      <c r="I71" s="37"/>
    </row>
    <row r="72" spans="1:9" ht="18.000000" customHeight="1">
      <c r="A72" s="34" t="s">
        <v>81</v>
      </c>
      <c r="B72" s="34"/>
      <c r="C72" s="34"/>
      <c r="D72" s="34"/>
      <c r="E72" s="34"/>
      <c r="F72" s="34"/>
      <c r="G72" s="34"/>
      <c r="H72" s="34"/>
      <c r="I72" s="34"/>
    </row>
    <row r="73" spans="1:9" ht="18.000000" customHeight="1">
      <c r="A73" s="37" t="s">
        <v>171</v>
      </c>
      <c r="B73" s="37"/>
      <c r="C73" s="37"/>
      <c r="D73" s="37"/>
      <c r="E73" s="37"/>
      <c r="F73" s="37"/>
      <c r="G73" s="37"/>
      <c r="H73" s="37"/>
      <c r="I73" s="37"/>
    </row>
    <row r="74" spans="1:9" ht="18.000000" customHeight="1">
      <c r="A74" s="34" t="s">
        <v>96</v>
      </c>
      <c r="B74" s="34"/>
      <c r="C74" s="34"/>
      <c r="D74" s="34"/>
      <c r="E74" s="34"/>
      <c r="F74" s="34"/>
      <c r="G74" s="34"/>
      <c r="H74" s="34"/>
      <c r="I74" s="34"/>
    </row>
    <row r="75" spans="1:9" ht="18.000000" customHeight="1">
      <c r="A75" s="37" t="s">
        <v>171</v>
      </c>
      <c r="B75" s="37"/>
      <c r="C75" s="37"/>
      <c r="D75" s="37"/>
      <c r="E75" s="37"/>
      <c r="F75" s="37"/>
      <c r="G75" s="37"/>
      <c r="H75" s="37"/>
      <c r="I75" s="37"/>
    </row>
    <row r="76" spans="1:9" ht="18.000000" customHeight="1">
      <c r="A76" s="34" t="s">
        <v>110</v>
      </c>
      <c r="B76" s="34"/>
      <c r="C76" s="34"/>
      <c r="D76" s="34"/>
      <c r="E76" s="34"/>
      <c r="F76" s="34"/>
      <c r="G76" s="34"/>
      <c r="H76" s="34"/>
      <c r="I76" s="34"/>
    </row>
    <row r="77" spans="1:9" ht="18.000000" customHeight="1">
      <c r="A77" s="37" t="s">
        <v>171</v>
      </c>
      <c r="B77" s="37"/>
      <c r="C77" s="37"/>
      <c r="D77" s="37"/>
      <c r="E77" s="37"/>
      <c r="F77" s="37"/>
      <c r="G77" s="37"/>
      <c r="H77" s="37"/>
      <c r="I77" s="37"/>
    </row>
    <row r="78" spans="1:9" ht="18.000000" customHeight="1">
      <c r="A78" s="34" t="s">
        <v>122</v>
      </c>
      <c r="B78" s="34"/>
      <c r="C78" s="34"/>
      <c r="D78" s="34"/>
      <c r="E78" s="34"/>
      <c r="F78" s="34"/>
      <c r="G78" s="34"/>
      <c r="H78" s="34"/>
      <c r="I78" s="34"/>
    </row>
    <row r="79" spans="1:9" ht="18.000000" customHeight="1">
      <c r="A79" s="37" t="s">
        <v>171</v>
      </c>
      <c r="B79" s="37"/>
      <c r="C79" s="37"/>
      <c r="D79" s="37"/>
      <c r="E79" s="37"/>
      <c r="F79" s="37"/>
      <c r="G79" s="37"/>
      <c r="H79" s="37"/>
      <c r="I79" s="37"/>
    </row>
    <row r="80" spans="1:9" ht="18.000000" customHeight="1">
      <c r="A80" s="34" t="s">
        <v>133</v>
      </c>
      <c r="B80" s="34"/>
      <c r="C80" s="34"/>
      <c r="D80" s="34"/>
      <c r="E80" s="34"/>
      <c r="F80" s="34"/>
      <c r="G80" s="34"/>
      <c r="H80" s="34"/>
      <c r="I80" s="34"/>
    </row>
    <row r="82" spans="1:9" ht="24.000000" customHeight="1">
      <c r="A82" s="8" t="s">
        <v>172</v>
      </c>
      <c r="B82" s="8"/>
      <c r="C82" s="8"/>
      <c r="D82" s="8"/>
      <c r="E82" s="8"/>
      <c r="F82" s="8"/>
      <c r="G82" s="8"/>
      <c r="H82" s="8"/>
      <c r="I82" s="8"/>
    </row>
    <row r="83" spans="1:9" ht="24.000000" customHeight="1">
      <c r="A83" s="13" t="s">
        <v>173</v>
      </c>
      <c r="B83" s="13" t="s">
        <v>174</v>
      </c>
      <c r="C83" s="13"/>
      <c r="D83" s="13" t="s">
        <v>175</v>
      </c>
      <c r="E83" s="13"/>
      <c r="F83" s="13"/>
      <c r="G83" s="13"/>
      <c r="H83" s="13"/>
      <c r="I83" s="13" t="s">
        <v>29</v>
      </c>
    </row>
    <row r="84" spans="1:9" ht="56.000000" customHeight="1">
      <c r="A84" s="41" t="s">
        <v>35</v>
      </c>
      <c r="B84" s="42" t="s">
        <v>176</v>
      </c>
      <c r="C84" s="42"/>
      <c r="D84" s="42" t="s">
        <v>177</v>
      </c>
      <c r="E84" s="42"/>
      <c r="F84" s="42"/>
      <c r="G84" s="42"/>
      <c r="H84" s="42"/>
      <c r="I84" s="43" t="s">
        <v>7</v>
      </c>
    </row>
    <row r="85" spans="1:9" ht="56.000000" customHeight="1">
      <c r="A85" s="41" t="s">
        <v>50</v>
      </c>
      <c r="B85" s="42" t="s">
        <v>178</v>
      </c>
      <c r="C85" s="42"/>
      <c r="D85" s="42" t="s">
        <v>179</v>
      </c>
      <c r="E85" s="42"/>
      <c r="F85" s="42"/>
      <c r="G85" s="42"/>
      <c r="H85" s="42"/>
      <c r="I85" s="43" t="s">
        <v>7</v>
      </c>
    </row>
    <row r="86" spans="1:9" ht="56.000000" customHeight="1">
      <c r="A86" s="41" t="s">
        <v>65</v>
      </c>
      <c r="B86" s="42" t="s">
        <v>180</v>
      </c>
      <c r="C86" s="42"/>
      <c r="D86" s="42" t="s">
        <v>181</v>
      </c>
      <c r="E86" s="42"/>
      <c r="F86" s="42"/>
      <c r="G86" s="42"/>
      <c r="H86" s="42"/>
      <c r="I86" s="43" t="s">
        <v>7</v>
      </c>
    </row>
    <row r="87" spans="1:9" ht="56.000000" customHeight="1">
      <c r="A87" s="41" t="s">
        <v>83</v>
      </c>
      <c r="B87" s="42" t="s">
        <v>182</v>
      </c>
      <c r="C87" s="42"/>
      <c r="D87" s="42" t="s">
        <v>183</v>
      </c>
      <c r="E87" s="42"/>
      <c r="F87" s="42"/>
      <c r="G87" s="42"/>
      <c r="H87" s="42"/>
      <c r="I87" s="43" t="s">
        <v>7</v>
      </c>
    </row>
    <row r="88" spans="1:9" ht="56.000000" customHeight="1">
      <c r="A88" s="41" t="s">
        <v>98</v>
      </c>
      <c r="B88" s="42" t="s">
        <v>197</v>
      </c>
      <c r="C88" s="42"/>
      <c r="D88" s="42" t="s">
        <v>194</v>
      </c>
      <c r="E88" s="42"/>
      <c r="F88" s="42"/>
      <c r="G88" s="42"/>
      <c r="H88" s="42"/>
      <c r="I88" s="172" t="s">
        <v>10</v>
      </c>
    </row>
    <row r="89" spans="1:9" ht="56.000000" customHeight="1">
      <c r="A89" s="41" t="s">
        <v>88</v>
      </c>
      <c r="B89" s="42" t="s">
        <v>198</v>
      </c>
      <c r="C89" s="42"/>
      <c r="D89" s="42" t="s">
        <v>196</v>
      </c>
      <c r="E89" s="42"/>
      <c r="F89" s="42"/>
      <c r="G89" s="42"/>
      <c r="H89" s="42"/>
      <c r="I89" s="172" t="s">
        <v>10</v>
      </c>
    </row>
  </sheetData>
  <mergeCells count="59">
    <mergeCell ref="A1:I1"/>
    <mergeCell ref="A3:I3"/>
    <mergeCell ref="A4:B4"/>
    <mergeCell ref="C4:E4"/>
    <mergeCell ref="F4:I4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I10"/>
    <mergeCell ref="A9:B9"/>
    <mergeCell ref="C9:E9"/>
    <mergeCell ref="A10:B10"/>
    <mergeCell ref="C10:E10"/>
    <mergeCell ref="A12:I12"/>
    <mergeCell ref="A38:I38"/>
    <mergeCell ref="A49:I49"/>
    <mergeCell ref="A58:I58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0:I80"/>
    <mergeCell ref="A82:I82"/>
    <mergeCell ref="B83:C83"/>
    <mergeCell ref="D83:H83"/>
    <mergeCell ref="B84:C84"/>
    <mergeCell ref="D84:H84"/>
    <mergeCell ref="B85:C85"/>
    <mergeCell ref="D85:H85"/>
    <mergeCell ref="B86:C86"/>
    <mergeCell ref="D86:H86"/>
    <mergeCell ref="B87:C87"/>
    <mergeCell ref="D87:H87"/>
    <mergeCell ref="B88:C88"/>
    <mergeCell ref="D88:H88"/>
    <mergeCell ref="B89:C89"/>
    <mergeCell ref="D89:H89"/>
  </mergeCells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zed1354</cp:lastModifiedBy>
  <cp:version>10.105.307.56236</cp:version>
</cp:coreProperties>
</file>