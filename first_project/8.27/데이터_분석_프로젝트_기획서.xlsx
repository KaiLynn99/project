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알짜배기\"/>
    </mc:Choice>
  </mc:AlternateContent>
  <bookViews>
    <workbookView xWindow="0" yWindow="0" windowWidth="16380" windowHeight="8190" tabRatio="500" firstSheet="5" activeTab="12"/>
  </bookViews>
  <sheets>
    <sheet name="0.표지·기본정보" sheetId="1" r:id="rId1"/>
    <sheet name="1.개요·문제정의" sheetId="2" r:id="rId2"/>
    <sheet name="2.KPI" sheetId="3" r:id="rId3"/>
    <sheet name="3.데이터수집" sheetId="4" r:id="rId4"/>
    <sheet name="4.전처리" sheetId="5" r:id="rId5"/>
    <sheet name="5.DB설계" sheetId="6" r:id="rId6"/>
    <sheet name="6.분석결과" sheetId="7" r:id="rId7"/>
    <sheet name="7.4분면분석" sheetId="8" r:id="rId8"/>
    <sheet name="8.대시보드구성" sheetId="9" r:id="rId9"/>
    <sheet name="9.R&amp;R" sheetId="10" r:id="rId10"/>
    <sheet name="10.WBS일정" sheetId="11" r:id="rId11"/>
    <sheet name="11.산출물·평가" sheetId="12" r:id="rId12"/>
    <sheet name="12.점검표" sheetId="13" r:id="rId13"/>
  </sheets>
  <definedNames>
    <definedName name="_xlnm._FilterDatabase" localSheetId="10" hidden="1">'10.WBS일정'!$A$5:$G$28</definedName>
    <definedName name="_xlnm._FilterDatabase" localSheetId="12" hidden="1">'12.점검표'!$A$5:$D$39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0" i="13" l="1"/>
  <c r="C40" i="13"/>
  <c r="D26" i="12"/>
  <c r="C26" i="12"/>
  <c r="G29" i="11"/>
  <c r="F29" i="11"/>
  <c r="E29" i="11"/>
  <c r="E20" i="8"/>
  <c r="F44" i="7"/>
  <c r="F43" i="7"/>
  <c r="F42" i="7"/>
  <c r="F41" i="7"/>
  <c r="F40" i="7"/>
  <c r="C35" i="7"/>
  <c r="C34" i="7"/>
  <c r="C33" i="7"/>
  <c r="C32" i="7"/>
  <c r="C27" i="7"/>
  <c r="C26" i="7"/>
  <c r="C25" i="7"/>
  <c r="C21" i="7"/>
  <c r="C20" i="7"/>
  <c r="C19" i="7"/>
  <c r="C18" i="7"/>
  <c r="E13" i="7"/>
  <c r="C13" i="7"/>
  <c r="E12" i="7"/>
  <c r="C12" i="7"/>
  <c r="E11" i="7"/>
  <c r="C11" i="7"/>
  <c r="B15" i="1"/>
  <c r="B14" i="1"/>
</calcChain>
</file>

<file path=xl/sharedStrings.xml><?xml version="1.0" encoding="utf-8"?>
<sst xmlns="http://schemas.openxmlformats.org/spreadsheetml/2006/main" count="1104" uniqueCount="788">
  <si>
    <t>데이터 분석 프로젝트 기획서</t>
  </si>
  <si>
    <t>서울 지하철 2호선 이용량과 역세권 부동산 특성 분석</t>
  </si>
  <si>
    <t>Project Proposal &amp; Specification</t>
  </si>
  <si>
    <t>프로젝트 기본 정보</t>
  </si>
  <si>
    <t>항목</t>
  </si>
  <si>
    <t>내용</t>
  </si>
  <si>
    <t>프로젝트명</t>
  </si>
  <si>
    <t>프로젝트 주제</t>
  </si>
  <si>
    <t>서울 지하철 2호선 역별 교통 이용량과 부동산 가격의 관계 분석</t>
  </si>
  <si>
    <t>팀명</t>
  </si>
  <si>
    <t>나까무라</t>
  </si>
  <si>
    <t>팀원</t>
  </si>
  <si>
    <t>김경혜, 김주영, 박경필, 전정재 (4명)</t>
  </si>
  <si>
    <t>프로젝트 기간</t>
  </si>
  <si>
    <r>
      <rPr>
        <sz val="10"/>
        <rFont val="Arial"/>
        <family val="2"/>
      </rPr>
      <t>2026.08.18 ~ 09.03 (</t>
    </r>
    <r>
      <rPr>
        <sz val="10"/>
        <rFont val="Noto Sans CJK SC"/>
        <family val="2"/>
      </rPr>
      <t xml:space="preserve">약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</si>
  <si>
    <t>일일 참여시간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</si>
  <si>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인</t>
    </r>
  </si>
  <si>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인 총 투입시간</t>
    </r>
  </si>
  <si>
    <t>팀 전체 투입시간</t>
  </si>
  <si>
    <t>사용 기술</t>
  </si>
  <si>
    <t>Python · Pandas · MySQL · Power BI</t>
  </si>
  <si>
    <t>분석 대상</t>
  </si>
  <si>
    <t>서울 지하철 2호선 33개 역</t>
  </si>
  <si>
    <t>분석 기간</t>
  </si>
  <si>
    <r>
      <rPr>
        <sz val="10"/>
        <rFont val="Arial"/>
        <family val="2"/>
      </rPr>
      <t>2022 ~ 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</rPr>
      <t>(4</t>
    </r>
    <r>
      <rPr>
        <sz val="10"/>
        <rFont val="Noto Sans CJK SC"/>
        <family val="2"/>
      </rPr>
      <t>개 연도</t>
    </r>
    <r>
      <rPr>
        <sz val="10"/>
        <rFont val="Arial"/>
        <family val="2"/>
      </rPr>
      <t>)</t>
    </r>
  </si>
  <si>
    <t>부동산 유형</t>
  </si>
  <si>
    <t>아파트 · 연립다세대 · 단독다가구 · 오피스텔</t>
  </si>
  <si>
    <t>거래 유형</t>
  </si>
  <si>
    <t>매매 · 전세 · 월세</t>
  </si>
  <si>
    <t>데이터 출처</t>
  </si>
  <si>
    <t>서울 열린데이터광장 · 국토교통부 실거래가 공개시스템</t>
  </si>
  <si>
    <t>최종 산출물</t>
  </si>
  <si>
    <r>
      <rPr>
        <sz val="10"/>
        <rFont val="Arial"/>
        <family val="2"/>
      </rPr>
      <t xml:space="preserve">MySQL </t>
    </r>
    <r>
      <rPr>
        <sz val="10"/>
        <rFont val="Noto Sans CJK SC"/>
        <family val="2"/>
      </rPr>
      <t xml:space="preserve">데이터베이스 </t>
    </r>
    <r>
      <rPr>
        <sz val="10"/>
        <rFont val="Arial"/>
        <family val="2"/>
      </rPr>
      <t xml:space="preserve">· Python </t>
    </r>
    <r>
      <rPr>
        <sz val="10"/>
        <rFont val="Noto Sans CJK SC"/>
        <family val="2"/>
      </rPr>
      <t xml:space="preserve">분석 코드 </t>
    </r>
    <r>
      <rPr>
        <sz val="10"/>
        <rFont val="Arial"/>
        <family val="2"/>
      </rPr>
      <t xml:space="preserve">· SQL </t>
    </r>
    <r>
      <rPr>
        <sz val="10"/>
        <rFont val="Noto Sans CJK SC"/>
        <family val="2"/>
      </rPr>
      <t xml:space="preserve">분석 결과 </t>
    </r>
    <r>
      <rPr>
        <sz val="10"/>
        <rFont val="Arial"/>
        <family val="2"/>
      </rPr>
      <t xml:space="preserve">· Power BI </t>
    </r>
    <r>
      <rPr>
        <sz val="10"/>
        <rFont val="Noto Sans CJK SC"/>
        <family val="2"/>
      </rPr>
      <t xml:space="preserve">대시보드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프로젝트 보고서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발표자료</t>
    </r>
  </si>
  <si>
    <t>투입시간 산출 근거</t>
  </si>
  <si>
    <t>파라미터</t>
  </si>
  <si>
    <t>값</t>
  </si>
  <si>
    <t>주차 수</t>
  </si>
  <si>
    <t>주당 근무일</t>
  </si>
  <si>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인 일일 시간</t>
    </r>
  </si>
  <si>
    <t>인원 수</t>
  </si>
  <si>
    <t>본 문서 사용 안내 (범례)</t>
  </si>
  <si>
    <t>노란색 배경 셀 = 팀에서 직접 채우거나 갱신하는 칸 (담당자, 진행 상태, 자체 점수, 체크)</t>
  </si>
  <si>
    <t>파란색 글자 = 직접 입력한 값  /  검은색 글자 = 수식으로 계산된 값</t>
  </si>
  <si>
    <t>빨간색 글자 = 검토·확인이 필요한 항목</t>
  </si>
  <si>
    <t>데이터 파이프라인</t>
  </si>
  <si>
    <t>① 외부 데이터   서울 열린데이터광장(지하철 승하차) / 국토교통부 실거래가(부동산 4종 × 매매·전세·월세)</t>
  </si>
  <si>
    <r>
      <rPr>
        <sz val="10"/>
        <rFont val="Arial"/>
        <family val="2"/>
      </rPr>
      <t xml:space="preserve">② Python        </t>
    </r>
    <r>
      <rPr>
        <sz val="10"/>
        <rFont val="Noto Sans CJK SC"/>
        <family val="2"/>
      </rPr>
      <t xml:space="preserve">연도별 </t>
    </r>
    <r>
      <rPr>
        <sz val="10"/>
        <rFont val="Arial"/>
        <family val="2"/>
      </rPr>
      <t xml:space="preserve">CSV </t>
    </r>
    <r>
      <rPr>
        <sz val="10"/>
        <rFont val="Noto Sans CJK SC"/>
        <family val="2"/>
      </rPr>
      <t xml:space="preserve">통합 →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호선 필터 → 역명 정리 → 총이용량 생성 → 연도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역별 집계</t>
    </r>
  </si>
  <si>
    <r>
      <rPr>
        <sz val="10"/>
        <rFont val="Arial"/>
        <family val="2"/>
      </rPr>
      <t xml:space="preserve">③ MySQL         subway / real_estate / subway_annual </t>
    </r>
    <r>
      <rPr>
        <sz val="10"/>
        <rFont val="Noto Sans CJK SC"/>
        <family val="2"/>
      </rPr>
      <t>테이블 적재</t>
    </r>
    <r>
      <rPr>
        <sz val="10"/>
        <rFont val="Arial"/>
        <family val="2"/>
      </rPr>
      <t xml:space="preserve">, (year, station_name) </t>
    </r>
    <r>
      <rPr>
        <sz val="10"/>
        <rFont val="Noto Sans CJK SC"/>
        <family val="2"/>
      </rPr>
      <t>복합 인덱스</t>
    </r>
  </si>
  <si>
    <r>
      <rPr>
        <sz val="10"/>
        <rFont val="Arial"/>
        <family val="2"/>
      </rPr>
      <t xml:space="preserve">④ SQL </t>
    </r>
    <r>
      <rPr>
        <sz val="10"/>
        <rFont val="Noto Sans CJK SC"/>
        <family val="2"/>
      </rPr>
      <t xml:space="preserve">분석      </t>
    </r>
    <r>
      <rPr>
        <sz val="10"/>
        <rFont val="Arial"/>
        <family val="2"/>
      </rPr>
      <t xml:space="preserve">year + station_name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2"/>
      </rPr>
      <t xml:space="preserve">JOIN, GROUP BY </t>
    </r>
    <r>
      <rPr>
        <sz val="10"/>
        <rFont val="Noto Sans CJK SC"/>
        <family val="2"/>
      </rPr>
      <t>평균 거래금액 집계</t>
    </r>
  </si>
  <si>
    <r>
      <rPr>
        <sz val="10"/>
        <rFont val="Arial"/>
        <family val="2"/>
      </rPr>
      <t xml:space="preserve">⑤ Python </t>
    </r>
    <r>
      <rPr>
        <sz val="10"/>
        <rFont val="Noto Sans CJK SC"/>
        <family val="2"/>
      </rPr>
      <t xml:space="preserve">통계   연도별 변화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주택유형별 </t>
    </r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거래유형별 </t>
    </r>
    <r>
      <rPr>
        <sz val="10"/>
        <rFont val="Arial"/>
        <family val="2"/>
      </rPr>
      <t>· 48</t>
    </r>
    <r>
      <rPr>
        <sz val="10"/>
        <rFont val="Noto Sans CJK SC"/>
        <family val="2"/>
      </rPr>
      <t xml:space="preserve">개 조합 상관분석 </t>
    </r>
    <r>
      <rPr>
        <sz val="10"/>
        <rFont val="Arial"/>
        <family val="2"/>
      </rPr>
      <t>· 4</t>
    </r>
    <r>
      <rPr>
        <sz val="10"/>
        <rFont val="Noto Sans CJK SC"/>
        <family val="2"/>
      </rPr>
      <t>분면 분류</t>
    </r>
  </si>
  <si>
    <r>
      <rPr>
        <sz val="10"/>
        <rFont val="Arial"/>
        <family val="2"/>
      </rPr>
      <t xml:space="preserve">⑥ Power BI      </t>
    </r>
    <r>
      <rPr>
        <sz val="10"/>
        <rFont val="Noto Sans CJK SC"/>
        <family val="2"/>
      </rPr>
      <t xml:space="preserve">데이터 모델링 → </t>
    </r>
    <r>
      <rPr>
        <sz val="10"/>
        <rFont val="Arial"/>
        <family val="2"/>
      </rPr>
      <t>DAX → 4</t>
    </r>
    <r>
      <rPr>
        <sz val="10"/>
        <rFont val="Noto Sans CJK SC"/>
        <family val="2"/>
      </rPr>
      <t>개 페이지 대시보드</t>
    </r>
  </si>
  <si>
    <r>
      <rPr>
        <b/>
        <sz val="14"/>
        <color rgb="FFFFFFFF"/>
        <rFont val="Arial"/>
        <family val="2"/>
      </rPr>
      <t xml:space="preserve">1. </t>
    </r>
    <r>
      <rPr>
        <b/>
        <sz val="14"/>
        <color rgb="FFFFFFFF"/>
        <rFont val="Noto Sans CJK SC"/>
        <family val="2"/>
      </rPr>
      <t>프로젝트 개요 및 문제 정의</t>
    </r>
  </si>
  <si>
    <t>Project Overview</t>
  </si>
  <si>
    <r>
      <rPr>
        <b/>
        <sz val="11"/>
        <color rgb="FF1F3864"/>
        <rFont val="Arial"/>
        <family val="2"/>
      </rPr>
      <t xml:space="preserve">1.1  </t>
    </r>
    <r>
      <rPr>
        <b/>
        <sz val="11"/>
        <color rgb="FF1F3864"/>
        <rFont val="Noto Sans CJK SC"/>
        <family val="2"/>
      </rPr>
      <t>프로젝트 주제</t>
    </r>
  </si>
  <si>
    <t>본 프로젝트는 서울 지하철 2호선을 대상으로 역별 지하철 이용량과 부동산 거래가격의 관계를 분석한다.</t>
  </si>
  <si>
    <r>
      <rPr>
        <sz val="10"/>
        <rFont val="Arial"/>
        <family val="2"/>
      </rPr>
      <t>2022~2025</t>
    </r>
    <r>
      <rPr>
        <sz val="10"/>
        <rFont val="Noto Sans CJK SC"/>
        <family val="2"/>
      </rPr>
      <t>년 지하철 이용 데이터를 연도별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역별로 집계하고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같은 기간 부동산 데이터를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개 주택유형 </t>
    </r>
    <r>
      <rPr>
        <sz val="10"/>
        <rFont val="Arial"/>
        <family val="2"/>
      </rPr>
      <t>× 3</t>
    </r>
    <r>
      <rPr>
        <sz val="10"/>
        <rFont val="Noto Sans CJK SC"/>
        <family val="2"/>
      </rPr>
      <t>개 거래유형으로 나눠 평균 거래금액을 산출한다</t>
    </r>
    <r>
      <rPr>
        <sz val="10"/>
        <rFont val="Arial"/>
        <family val="2"/>
      </rPr>
      <t>.</t>
    </r>
  </si>
  <si>
    <t>두 데이터를 연도 + 역명 기준으로 결합해 상관관계를 분석하고, 이용량과 가격 수준에 따라 33개 역을 4개 그룹으로 분류한다.</t>
  </si>
  <si>
    <r>
      <rPr>
        <b/>
        <sz val="11"/>
        <color rgb="FF1F3864"/>
        <rFont val="Arial"/>
        <family val="2"/>
      </rPr>
      <t xml:space="preserve">1.2  </t>
    </r>
    <r>
      <rPr>
        <b/>
        <sz val="11"/>
        <color rgb="FF1F3864"/>
        <rFont val="Noto Sans CJK SC"/>
        <family val="2"/>
      </rPr>
      <t>분석 범위</t>
    </r>
  </si>
  <si>
    <t>구분</t>
  </si>
  <si>
    <t>분석 노선</t>
  </si>
  <si>
    <t>서울 지하철 2호선 (성수지선·신정지선 분기 포함)</t>
  </si>
  <si>
    <t>분석 역</t>
  </si>
  <si>
    <r>
      <rPr>
        <sz val="10"/>
        <rFont val="Arial"/>
        <family val="2"/>
      </rPr>
      <t>33</t>
    </r>
    <r>
      <rPr>
        <sz val="10"/>
        <rFont val="Noto Sans CJK SC"/>
        <family val="2"/>
      </rPr>
      <t>개 역</t>
    </r>
  </si>
  <si>
    <r>
      <rPr>
        <sz val="10"/>
        <rFont val="Arial"/>
        <family val="2"/>
      </rPr>
      <t>2022 ~ 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</rPr>
      <t>(4</t>
    </r>
    <r>
      <rPr>
        <sz val="10"/>
        <rFont val="Noto Sans CJK SC"/>
        <family val="2"/>
      </rPr>
      <t>개 연도</t>
    </r>
    <r>
      <rPr>
        <sz val="10"/>
        <rFont val="Arial"/>
        <family val="2"/>
      </rPr>
      <t>). 2026</t>
    </r>
    <r>
      <rPr>
        <sz val="10"/>
        <rFont val="Noto Sans CJK SC"/>
        <family val="2"/>
      </rPr>
      <t>년은 부분 데이터라 분석에서 제외했다</t>
    </r>
    <r>
      <rPr>
        <sz val="10"/>
        <rFont val="Arial"/>
        <family val="2"/>
      </rPr>
      <t>.</t>
    </r>
  </si>
  <si>
    <t>주택 유형</t>
  </si>
  <si>
    <t>아파트 · 연립다세대 · 단독다가구 · 오피스텔 (4종)</t>
  </si>
  <si>
    <t>매매 · 전세 · 월세 (3종)</t>
  </si>
  <si>
    <t>분석 조합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</si>
  <si>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개 연도 </t>
    </r>
    <r>
      <rPr>
        <sz val="10"/>
        <rFont val="Arial"/>
        <family val="2"/>
      </rPr>
      <t>× 4</t>
    </r>
    <r>
      <rPr>
        <sz val="10"/>
        <rFont val="Noto Sans CJK SC"/>
        <family val="2"/>
      </rPr>
      <t xml:space="preserve">개 주택유형 </t>
    </r>
    <r>
      <rPr>
        <sz val="10"/>
        <rFont val="Arial"/>
        <family val="2"/>
      </rPr>
      <t>× 3</t>
    </r>
    <r>
      <rPr>
        <sz val="10"/>
        <rFont val="Noto Sans CJK SC"/>
        <family val="2"/>
      </rPr>
      <t xml:space="preserve">개 거래유형 </t>
    </r>
    <r>
      <rPr>
        <sz val="10"/>
        <rFont val="Arial"/>
        <family val="2"/>
      </rPr>
      <t>= 48</t>
    </r>
    <r>
      <rPr>
        <sz val="10"/>
        <rFont val="Noto Sans CJK SC"/>
        <family val="2"/>
      </rPr>
      <t>개 조합</t>
    </r>
  </si>
  <si>
    <t>역세권 정의</t>
  </si>
  <si>
    <t>지하철역 좌표 반경이 아니라, 각 역이 속한 자치구·법정동 기준으로 매칭했다.</t>
  </si>
  <si>
    <t>제외 범위</t>
  </si>
  <si>
    <t>버스 이용량, 상권·점포, 인구·업무시설 데이터는 미확보로 다루지 않는다.</t>
  </si>
  <si>
    <r>
      <rPr>
        <b/>
        <sz val="11"/>
        <color rgb="FF1F3864"/>
        <rFont val="Arial"/>
        <family val="2"/>
      </rPr>
      <t xml:space="preserve">1.3  </t>
    </r>
    <r>
      <rPr>
        <b/>
        <sz val="11"/>
        <color rgb="FF1F3864"/>
        <rFont val="Noto Sans CJK SC"/>
        <family val="2"/>
      </rPr>
      <t>기획 배경</t>
    </r>
  </si>
  <si>
    <t>지하철은 서울 시민의 주요 교통수단이고, 역 주변은 주거와 상업 활동이 집중되는 특징이 있다.</t>
  </si>
  <si>
    <t>따라서 이용량이 많은 역일수록 그 지역 부동산 가격도 높게 나타나는지 확인할 필요가 있다.</t>
  </si>
  <si>
    <t>다만 '역세권이라 비싸다'는 통념은 대부분 체감이나 개별 사례에 근거하며, 이용량이라는 정량 지표로 검증된 경우는 많지 않다.</t>
  </si>
  <si>
    <r>
      <rPr>
        <sz val="10"/>
        <rFont val="Arial"/>
        <family val="2"/>
      </rPr>
      <t>2</t>
    </r>
    <r>
      <rPr>
        <sz val="10"/>
        <rFont val="Noto Sans CJK SC"/>
        <family val="2"/>
      </rPr>
      <t>호선은 업무지구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강남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삼성</t>
    </r>
    <r>
      <rPr>
        <sz val="10"/>
        <rFont val="Arial"/>
        <family val="2"/>
      </rPr>
      <t>)·</t>
    </r>
    <r>
      <rPr>
        <sz val="10"/>
        <rFont val="Noto Sans CJK SC"/>
        <family val="2"/>
      </rPr>
      <t>상업지구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홍대입구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건대입구</t>
    </r>
    <r>
      <rPr>
        <sz val="10"/>
        <rFont val="Arial"/>
        <family val="2"/>
      </rPr>
      <t>)·</t>
    </r>
    <r>
      <rPr>
        <sz val="10"/>
        <rFont val="Noto Sans CJK SC"/>
        <family val="2"/>
      </rPr>
      <t>주거지구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신대방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봉천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를 모두 포함해 비교 분석에 적합하다</t>
    </r>
    <r>
      <rPr>
        <sz val="10"/>
        <rFont val="Arial"/>
        <family val="2"/>
      </rPr>
      <t>.</t>
    </r>
  </si>
  <si>
    <t>본 프로젝트는 평균 가격 비교에 그치지 않고 연도별 변화, 주택유형·거래유형별 차이, 상관관계, 역 유형 분류까지 종합적으로 분석한다.</t>
  </si>
  <si>
    <r>
      <rPr>
        <b/>
        <sz val="11"/>
        <color rgb="FF1F3864"/>
        <rFont val="Arial"/>
        <family val="2"/>
      </rPr>
      <t xml:space="preserve">1.4  </t>
    </r>
    <r>
      <rPr>
        <b/>
        <sz val="11"/>
        <color rgb="FF1F3864"/>
        <rFont val="Noto Sans CJK SC"/>
        <family val="2"/>
      </rPr>
      <t>프로젝트 목적</t>
    </r>
  </si>
  <si>
    <t>No</t>
  </si>
  <si>
    <t>목적</t>
  </si>
  <si>
    <t>지하철 역별 이용량을 연도별로 분석한다.</t>
  </si>
  <si>
    <t>주택 유형별 부동산 평균 거래금액을 비교한다.</t>
  </si>
  <si>
    <t>매매·전세·월세에 따른 가격 특성을 비교한다.</t>
  </si>
  <si>
    <t>지하철 이용량과 부동산 가격 사이의 상관관계를 분석한다.</t>
  </si>
  <si>
    <t>이용량과 가격을 기준으로 지하철역을 4개 유형으로 분류한다.</t>
  </si>
  <si>
    <t>연도별 변화와 주택·거래 유형별 차이를 통해 역세권의 특성을 도출한다.</t>
  </si>
  <si>
    <r>
      <rPr>
        <b/>
        <sz val="11"/>
        <color rgb="FF1F3864"/>
        <rFont val="Arial"/>
        <family val="2"/>
      </rPr>
      <t xml:space="preserve">1.5  </t>
    </r>
    <r>
      <rPr>
        <b/>
        <sz val="11"/>
        <color rgb="FF1F3864"/>
        <rFont val="Noto Sans CJK SC"/>
        <family val="2"/>
      </rPr>
      <t>분석 목표 — 답해야 할 질문</t>
    </r>
  </si>
  <si>
    <t>질문</t>
  </si>
  <si>
    <t>Q1</t>
  </si>
  <si>
    <t>지하철 이용량이 많은 역은 부동산 가격도 높은가?</t>
  </si>
  <si>
    <t>Q2</t>
  </si>
  <si>
    <r>
      <rPr>
        <sz val="10"/>
        <rFont val="Arial"/>
        <family val="2"/>
      </rPr>
      <t>2022~2025</t>
    </r>
    <r>
      <rPr>
        <sz val="10"/>
        <rFont val="Noto Sans CJK SC"/>
        <family val="2"/>
      </rPr>
      <t>년 동안 지하철 이용량과 부동산 가격은 어떻게 변화했는가</t>
    </r>
    <r>
      <rPr>
        <sz val="10"/>
        <rFont val="Arial"/>
        <family val="2"/>
      </rPr>
      <t>?</t>
    </r>
  </si>
  <si>
    <t>Q3</t>
  </si>
  <si>
    <t>주택 유형에 따라 지하철 이용량과 부동산 가격의 관계가 다른가?</t>
  </si>
  <si>
    <t>Q4</t>
  </si>
  <si>
    <t>매매·전세·월세 중 어떤 거래 유형에서 이용량과 가격의 관계가 강하게 나타나는가?</t>
  </si>
  <si>
    <t>Q5</t>
  </si>
  <si>
    <t>지하철 이용량과 부동산 가격을 기준으로 2호선 역을 어떻게 유형화할 수 있는가?</t>
  </si>
  <si>
    <r>
      <rPr>
        <b/>
        <sz val="14"/>
        <color rgb="FFFFFFFF"/>
        <rFont val="Arial"/>
        <family val="2"/>
      </rPr>
      <t xml:space="preserve">2. </t>
    </r>
    <r>
      <rPr>
        <b/>
        <sz val="14"/>
        <color rgb="FFFFFFFF"/>
        <rFont val="Noto Sans CJK SC"/>
        <family val="2"/>
      </rPr>
      <t xml:space="preserve">핵심 </t>
    </r>
    <r>
      <rPr>
        <b/>
        <sz val="14"/>
        <color rgb="FFFFFFFF"/>
        <rFont val="Arial"/>
        <family val="2"/>
      </rPr>
      <t>KPI</t>
    </r>
  </si>
  <si>
    <t>대시보드에 고정 노출할 지표</t>
  </si>
  <si>
    <t>KPI</t>
  </si>
  <si>
    <t>정의</t>
  </si>
  <si>
    <t>산출 방법</t>
  </si>
  <si>
    <t>단위</t>
  </si>
  <si>
    <t>총 지하철 이용량</t>
  </si>
  <si>
    <t>역별 승차 + 하차 이용량</t>
  </si>
  <si>
    <r>
      <rPr>
        <sz val="10"/>
        <rFont val="Arial"/>
        <family val="2"/>
      </rPr>
      <t>SUM(</t>
    </r>
    <r>
      <rPr>
        <sz val="10"/>
        <rFont val="Noto Sans CJK SC"/>
        <family val="2"/>
      </rPr>
      <t xml:space="preserve">총승차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총하차</t>
    </r>
    <r>
      <rPr>
        <sz val="10"/>
        <rFont val="Arial"/>
        <family val="2"/>
      </rPr>
      <t>)</t>
    </r>
  </si>
  <si>
    <t>명</t>
  </si>
  <si>
    <t>연간 평균 부동산 거래금액</t>
  </si>
  <si>
    <t>역 · 연도 · 주택유형 · 거래유형별 평균 가격</t>
  </si>
  <si>
    <r>
      <rPr>
        <sz val="10"/>
        <rFont val="Arial"/>
        <family val="2"/>
      </rPr>
      <t>AVG(</t>
    </r>
    <r>
      <rPr>
        <sz val="10"/>
        <rFont val="Noto Sans CJK SC"/>
        <family val="2"/>
      </rPr>
      <t>거래금액</t>
    </r>
    <r>
      <rPr>
        <sz val="10"/>
        <rFont val="Arial"/>
        <family val="2"/>
      </rPr>
      <t>)</t>
    </r>
  </si>
  <si>
    <t>만원</t>
  </si>
  <si>
    <t>이용량 변화율</t>
  </si>
  <si>
    <t>전년 대비 이용량 증감률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</si>
  <si>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당해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>전년</t>
    </r>
    <r>
      <rPr>
        <sz val="10"/>
        <rFont val="Arial"/>
        <family val="2"/>
      </rPr>
      <t xml:space="preserve">) / </t>
    </r>
    <r>
      <rPr>
        <sz val="10"/>
        <rFont val="Noto Sans CJK SC"/>
        <family val="2"/>
      </rPr>
      <t>전년</t>
    </r>
  </si>
  <si>
    <t>%</t>
  </si>
  <si>
    <t>가격 변화율</t>
  </si>
  <si>
    <t>전년 대비 평균 거래금액 증감률</t>
  </si>
  <si>
    <t>이용량-가격 상관계수</t>
  </si>
  <si>
    <t>이용량과 부동산 가격의 관계 강도</t>
  </si>
  <si>
    <r>
      <rPr>
        <sz val="10"/>
        <rFont val="Arial"/>
        <family val="2"/>
      </rPr>
      <t xml:space="preserve">Pearson </t>
    </r>
    <r>
      <rPr>
        <sz val="10"/>
        <rFont val="Noto Sans CJK SC"/>
        <family val="2"/>
      </rPr>
      <t xml:space="preserve">상관계수 </t>
    </r>
    <r>
      <rPr>
        <sz val="10"/>
        <rFont val="Arial"/>
        <family val="2"/>
      </rPr>
      <t>(Python)</t>
    </r>
  </si>
  <si>
    <t>-1 ~ 1</t>
  </si>
  <si>
    <r>
      <rPr>
        <sz val="9"/>
        <color rgb="FF595959"/>
        <rFont val="Arial"/>
        <family val="2"/>
      </rPr>
      <t>※ KPI 5</t>
    </r>
    <r>
      <rPr>
        <sz val="9"/>
        <color rgb="FF595959"/>
        <rFont val="Noto Sans CJK SC"/>
        <family val="2"/>
      </rPr>
      <t>는 인과관계가 아니다</t>
    </r>
    <r>
      <rPr>
        <sz val="9"/>
        <color rgb="FF595959"/>
        <rFont val="Arial"/>
        <family val="2"/>
      </rPr>
      <t xml:space="preserve">. </t>
    </r>
    <r>
      <rPr>
        <sz val="9"/>
        <color rgb="FF595959"/>
        <rFont val="Noto Sans CJK SC"/>
        <family val="2"/>
      </rPr>
      <t xml:space="preserve">보고서에는 </t>
    </r>
    <r>
      <rPr>
        <sz val="9"/>
        <color rgb="FF595959"/>
        <rFont val="Arial"/>
        <family val="2"/>
      </rPr>
      <t>'</t>
    </r>
    <r>
      <rPr>
        <sz val="9"/>
        <color rgb="FF595959"/>
        <rFont val="Noto Sans CJK SC"/>
        <family val="2"/>
      </rPr>
      <t>관계가 있다</t>
    </r>
    <r>
      <rPr>
        <sz val="9"/>
        <color rgb="FF595959"/>
        <rFont val="Arial"/>
        <family val="2"/>
      </rPr>
      <t>'</t>
    </r>
    <r>
      <rPr>
        <sz val="9"/>
        <color rgb="FF595959"/>
        <rFont val="Noto Sans CJK SC"/>
        <family val="2"/>
      </rPr>
      <t xml:space="preserve">까지만 쓰고 </t>
    </r>
    <r>
      <rPr>
        <sz val="9"/>
        <color rgb="FF595959"/>
        <rFont val="Arial"/>
        <family val="2"/>
      </rPr>
      <t>'</t>
    </r>
    <r>
      <rPr>
        <sz val="9"/>
        <color rgb="FF595959"/>
        <rFont val="Noto Sans CJK SC"/>
        <family val="2"/>
      </rPr>
      <t>이용량이 가격을 올린다</t>
    </r>
    <r>
      <rPr>
        <sz val="9"/>
        <color rgb="FF595959"/>
        <rFont val="Arial"/>
        <family val="2"/>
      </rPr>
      <t>'</t>
    </r>
    <r>
      <rPr>
        <sz val="9"/>
        <color rgb="FF595959"/>
        <rFont val="Noto Sans CJK SC"/>
        <family val="2"/>
      </rPr>
      <t>로 쓰지 않는다</t>
    </r>
    <r>
      <rPr>
        <sz val="9"/>
        <color rgb="FF595959"/>
        <rFont val="Arial"/>
        <family val="2"/>
      </rPr>
      <t>.</t>
    </r>
  </si>
  <si>
    <r>
      <rPr>
        <b/>
        <sz val="9"/>
        <color rgb="FFC00000"/>
        <rFont val="Arial"/>
        <family val="2"/>
      </rPr>
      <t>※ KPI 2</t>
    </r>
    <r>
      <rPr>
        <b/>
        <sz val="9"/>
        <color rgb="FFC00000"/>
        <rFont val="Noto Sans CJK SC"/>
        <family val="2"/>
      </rPr>
      <t>를 거래유형 구분 없이 하나로 평균 내면 매매</t>
    </r>
    <r>
      <rPr>
        <b/>
        <sz val="9"/>
        <color rgb="FFC00000"/>
        <rFont val="Arial"/>
        <family val="2"/>
      </rPr>
      <t>(</t>
    </r>
    <r>
      <rPr>
        <b/>
        <sz val="9"/>
        <color rgb="FFC00000"/>
        <rFont val="Noto Sans CJK SC"/>
        <family val="2"/>
      </rPr>
      <t>억 단위</t>
    </r>
    <r>
      <rPr>
        <b/>
        <sz val="9"/>
        <color rgb="FFC00000"/>
        <rFont val="Arial"/>
        <family val="2"/>
      </rPr>
      <t>)</t>
    </r>
    <r>
      <rPr>
        <b/>
        <sz val="9"/>
        <color rgb="FFC00000"/>
        <rFont val="Noto Sans CJK SC"/>
        <family val="2"/>
      </rPr>
      <t>와 월세보증금</t>
    </r>
    <r>
      <rPr>
        <b/>
        <sz val="9"/>
        <color rgb="FFC00000"/>
        <rFont val="Arial"/>
        <family val="2"/>
      </rPr>
      <t>(</t>
    </r>
    <r>
      <rPr>
        <b/>
        <sz val="9"/>
        <color rgb="FFC00000"/>
        <rFont val="Noto Sans CJK SC"/>
        <family val="2"/>
      </rPr>
      <t>천만 단위</t>
    </r>
    <r>
      <rPr>
        <b/>
        <sz val="9"/>
        <color rgb="FFC00000"/>
        <rFont val="Arial"/>
        <family val="2"/>
      </rPr>
      <t>)</t>
    </r>
    <r>
      <rPr>
        <b/>
        <sz val="9"/>
        <color rgb="FFC00000"/>
        <rFont val="Noto Sans CJK SC"/>
        <family val="2"/>
      </rPr>
      <t>이 섞인다</t>
    </r>
    <r>
      <rPr>
        <b/>
        <sz val="9"/>
        <color rgb="FFC00000"/>
        <rFont val="Arial"/>
        <family val="2"/>
      </rPr>
      <t xml:space="preserve">. </t>
    </r>
    <r>
      <rPr>
        <b/>
        <sz val="9"/>
        <color rgb="FFC00000"/>
        <rFont val="Noto Sans CJK SC"/>
        <family val="2"/>
      </rPr>
      <t>항상 거래유형 필터를 건 상태로만 표시할 것</t>
    </r>
    <r>
      <rPr>
        <b/>
        <sz val="9"/>
        <color rgb="FFC00000"/>
        <rFont val="Arial"/>
        <family val="2"/>
      </rPr>
      <t>.</t>
    </r>
  </si>
  <si>
    <r>
      <rPr>
        <b/>
        <sz val="11"/>
        <color rgb="FF1F3864"/>
        <rFont val="Arial"/>
        <family val="2"/>
      </rPr>
      <t>KPI</t>
    </r>
    <r>
      <rPr>
        <b/>
        <sz val="11"/>
        <color rgb="FF1F3864"/>
        <rFont val="Noto Sans CJK SC"/>
        <family val="2"/>
      </rPr>
      <t>별 확인 기준 및 담당</t>
    </r>
  </si>
  <si>
    <t>확인하고 싶은 것</t>
  </si>
  <si>
    <t>판단 기준</t>
  </si>
  <si>
    <t>담당</t>
  </si>
  <si>
    <t>강남·삼성 같은 업무지구 역이 이용량 상위권을 차지하는지</t>
  </si>
  <si>
    <t>상위 5개 역 중 3개 이상이 업무·상업지구면 '이용량이 지역 성격을 반영한다'는 전제를 지지한다고 본다.</t>
  </si>
  <si>
    <t>김경혜</t>
  </si>
  <si>
    <t>역별·주택유형별 가격 격차가 분석할 만큼 큰지</t>
  </si>
  <si>
    <t>같은 주택유형·거래유형 안에서 최고가 역과 최저가 역이 2배 이상 차이 나면 편차가 유의미하다고 본다.</t>
  </si>
  <si>
    <t>박경필</t>
  </si>
  <si>
    <t>코로나 회복 이후 이용량 증가세가 계속되는지, 둔화되는지</t>
  </si>
  <si>
    <t>연간 증감률이 3개 연도 연속 양수면 회복 추세로 본다. 증가폭이 줄면 '회복 완료 후 정체'로 해석한다.</t>
  </si>
  <si>
    <t>김주영</t>
  </si>
  <si>
    <t>가격 상승률이 이용량 증가율과 같은 방향·비슷한 폭으로 움직이는지</t>
  </si>
  <si>
    <t>두 변화율의 방향이 같고 격차가 5%p 이내면 동조, 그 이상이면 별개 요인이 작용한다고 본다.</t>
  </si>
  <si>
    <t>이용량과 가격이 실제로 같이 움직이는지, 조합별로 강도가 다른지</t>
  </si>
  <si>
    <r>
      <rPr>
        <sz val="10"/>
        <color rgb="FF0000FF"/>
        <rFont val="Arial"/>
        <family val="2"/>
      </rPr>
      <t xml:space="preserve">n=33 </t>
    </r>
    <r>
      <rPr>
        <sz val="10"/>
        <color rgb="FF0000FF"/>
        <rFont val="Noto Sans CJK SC"/>
        <family val="2"/>
      </rPr>
      <t xml:space="preserve">기준 </t>
    </r>
    <r>
      <rPr>
        <sz val="10"/>
        <color rgb="FF0000FF"/>
        <rFont val="Arial"/>
        <family val="2"/>
      </rPr>
      <t xml:space="preserve">|r| ≥ 0.344 </t>
    </r>
    <r>
      <rPr>
        <sz val="10"/>
        <color rgb="FF0000FF"/>
        <rFont val="Noto Sans CJK SC"/>
        <family val="2"/>
      </rPr>
      <t>이면 유의</t>
    </r>
    <r>
      <rPr>
        <sz val="10"/>
        <color rgb="FF0000FF"/>
        <rFont val="Arial"/>
        <family val="2"/>
      </rPr>
      <t xml:space="preserve">(p&lt;0.05). </t>
    </r>
    <r>
      <rPr>
        <sz val="10"/>
        <color rgb="FF0000FF"/>
        <rFont val="Noto Sans CJK SC"/>
        <family val="2"/>
      </rPr>
      <t xml:space="preserve">그 미만이면 </t>
    </r>
    <r>
      <rPr>
        <sz val="10"/>
        <color rgb="FF0000FF"/>
        <rFont val="Arial"/>
        <family val="2"/>
      </rPr>
      <t>'</t>
    </r>
    <r>
      <rPr>
        <sz val="10"/>
        <color rgb="FF0000FF"/>
        <rFont val="Noto Sans CJK SC"/>
        <family val="2"/>
      </rPr>
      <t>뚜렷한 관계가 확인되지 않았다</t>
    </r>
    <r>
      <rPr>
        <sz val="10"/>
        <color rgb="FF0000FF"/>
        <rFont val="Arial"/>
        <family val="2"/>
      </rPr>
      <t>'</t>
    </r>
    <r>
      <rPr>
        <sz val="10"/>
        <color rgb="FF0000FF"/>
        <rFont val="Noto Sans CJK SC"/>
        <family val="2"/>
      </rPr>
      <t>로 보고한다</t>
    </r>
    <r>
      <rPr>
        <sz val="10"/>
        <color rgb="FF0000FF"/>
        <rFont val="Arial"/>
        <family val="2"/>
      </rPr>
      <t>.</t>
    </r>
  </si>
  <si>
    <t>전정재</t>
  </si>
  <si>
    <t>담당은 드롭다운으로 바꿀 수 있습니다. 판단 기준은 분석 전에 정해 두는 값이며, 결과를 본 뒤 바꾸면 사유를 남기세요.</t>
  </si>
  <si>
    <r>
      <rPr>
        <b/>
        <sz val="14"/>
        <color rgb="FFFFFFFF"/>
        <rFont val="Arial"/>
        <family val="2"/>
      </rPr>
      <t xml:space="preserve">3. </t>
    </r>
    <r>
      <rPr>
        <b/>
        <sz val="14"/>
        <color rgb="FFFFFFFF"/>
        <rFont val="Noto Sans CJK SC"/>
        <family val="2"/>
      </rPr>
      <t>데이터 수집</t>
    </r>
  </si>
  <si>
    <r>
      <rPr>
        <i/>
        <sz val="9"/>
        <color rgb="FF595959"/>
        <rFont val="Arial"/>
        <family val="2"/>
      </rPr>
      <t xml:space="preserve">Data Specification — </t>
    </r>
    <r>
      <rPr>
        <i/>
        <sz val="9"/>
        <color rgb="FF595959"/>
        <rFont val="Noto Sans CJK SC"/>
        <family val="2"/>
      </rPr>
      <t xml:space="preserve">공공데이터 직접 다운로드 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Noto Sans CJK SC"/>
        <family val="2"/>
      </rPr>
      <t>웹 크롤링 없음</t>
    </r>
    <r>
      <rPr>
        <i/>
        <sz val="9"/>
        <color rgb="FF595959"/>
        <rFont val="Arial"/>
        <family val="2"/>
      </rPr>
      <t>)</t>
    </r>
  </si>
  <si>
    <r>
      <rPr>
        <b/>
        <sz val="11"/>
        <color rgb="FF1F3864"/>
        <rFont val="Arial"/>
        <family val="2"/>
      </rPr>
      <t xml:space="preserve">3.1  </t>
    </r>
    <r>
      <rPr>
        <b/>
        <sz val="11"/>
        <color rgb="FF1F3864"/>
        <rFont val="Noto Sans CJK SC"/>
        <family val="2"/>
      </rPr>
      <t>데이터 출처</t>
    </r>
  </si>
  <si>
    <t>데이터</t>
  </si>
  <si>
    <t>출처</t>
  </si>
  <si>
    <t>활용 내용</t>
  </si>
  <si>
    <t>형식</t>
  </si>
  <si>
    <t>수집 방식</t>
  </si>
  <si>
    <t>서울 지하철 호선별 역별 승하차 인원</t>
  </si>
  <si>
    <t>서울 열린데이터광장</t>
  </si>
  <si>
    <t>역별 승차·하차 인원</t>
  </si>
  <si>
    <t>CSV</t>
  </si>
  <si>
    <t>파일 다운로드</t>
  </si>
  <si>
    <t>아파트 실거래가</t>
  </si>
  <si>
    <t>국토교통부 실거래가 공개시스템</t>
  </si>
  <si>
    <t>아파트 매매·전세·월세</t>
  </si>
  <si>
    <t>CSV / XLSX</t>
  </si>
  <si>
    <t>연립다세대 실거래가</t>
  </si>
  <si>
    <t>연립·다세대 거래</t>
  </si>
  <si>
    <t>단독다가구 실거래가</t>
  </si>
  <si>
    <t>단독·다가구 거래</t>
  </si>
  <si>
    <t>오피스텔 실거래가</t>
  </si>
  <si>
    <t>오피스텔 거래</t>
  </si>
  <si>
    <r>
      <rPr>
        <b/>
        <sz val="11"/>
        <color rgb="FF1F3864"/>
        <rFont val="Arial"/>
        <family val="2"/>
      </rPr>
      <t xml:space="preserve">3.2  </t>
    </r>
    <r>
      <rPr>
        <b/>
        <sz val="11"/>
        <color rgb="FF1F3864"/>
        <rFont val="Noto Sans CJK SC"/>
        <family val="2"/>
      </rPr>
      <t>데이터 선정 이유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</si>
  <si>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신뢰성 — 국토교통부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서울시가 제공하는 공공데이터로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실거래 신고 기반이라 호가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매물가가 아닌 실제 체결가다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</si>
  <si>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결합 가능성 — 부동산의 시군구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법정동과 지하철의 역명을 통해 연도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역명 기준으로 결합할 수 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</si>
  <si>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기간 일치 — 두 데이터 모두 </t>
    </r>
    <r>
      <rPr>
        <sz val="10"/>
        <rFont val="Arial"/>
        <family val="2"/>
      </rPr>
      <t>2022~2025</t>
    </r>
    <r>
      <rPr>
        <sz val="10"/>
        <rFont val="Noto Sans CJK SC"/>
        <family val="2"/>
      </rPr>
      <t>년 동일 기간을 완전히 확보했다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</si>
  <si>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정량 변수 — 승차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하차 인원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거래금액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보증금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임대료 등 수치형 변수로 상관분석이 가능하다</t>
    </r>
    <r>
      <rPr>
        <sz val="10"/>
        <rFont val="Arial"/>
        <family val="2"/>
      </rPr>
      <t>.</t>
    </r>
  </si>
  <si>
    <r>
      <rPr>
        <b/>
        <sz val="11"/>
        <color rgb="FF1F3864"/>
        <rFont val="Arial"/>
        <family val="2"/>
      </rPr>
      <t xml:space="preserve">3.3  </t>
    </r>
    <r>
      <rPr>
        <b/>
        <sz val="11"/>
        <color rgb="FF1F3864"/>
        <rFont val="Noto Sans CJK SC"/>
        <family val="2"/>
      </rPr>
      <t xml:space="preserve">분석 대상 역 </t>
    </r>
    <r>
      <rPr>
        <b/>
        <sz val="11"/>
        <color rgb="FF1F3864"/>
        <rFont val="Arial"/>
        <family val="2"/>
      </rPr>
      <t>(2</t>
    </r>
    <r>
      <rPr>
        <b/>
        <sz val="11"/>
        <color rgb="FF1F3864"/>
        <rFont val="Noto Sans CJK SC"/>
        <family val="2"/>
      </rPr>
      <t xml:space="preserve">호선 </t>
    </r>
    <r>
      <rPr>
        <b/>
        <sz val="11"/>
        <color rgb="FF1F3864"/>
        <rFont val="Arial"/>
        <family val="2"/>
      </rPr>
      <t>33</t>
    </r>
    <r>
      <rPr>
        <b/>
        <sz val="11"/>
        <color rgb="FF1F3864"/>
        <rFont val="Noto Sans CJK SC"/>
        <family val="2"/>
      </rPr>
      <t xml:space="preserve">개역 </t>
    </r>
    <r>
      <rPr>
        <b/>
        <sz val="11"/>
        <color rgb="FF1F3864"/>
        <rFont val="Arial"/>
        <family val="2"/>
      </rPr>
      <t xml:space="preserve">· </t>
    </r>
    <r>
      <rPr>
        <b/>
        <sz val="11"/>
        <color rgb="FF1F3864"/>
        <rFont val="Noto Sans CJK SC"/>
        <family val="2"/>
      </rPr>
      <t>노선 순서</t>
    </r>
    <r>
      <rPr>
        <b/>
        <sz val="11"/>
        <color rgb="FF1F3864"/>
        <rFont val="Arial"/>
        <family val="2"/>
      </rPr>
      <t>)</t>
    </r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</si>
  <si>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>시청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</si>
  <si>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>신당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</si>
  <si>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>상왕십리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</si>
  <si>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>왕십리</t>
    </r>
  </si>
  <si>
    <r>
      <rPr>
        <sz val="10"/>
        <rFont val="Arial"/>
        <family val="2"/>
      </rPr>
      <t xml:space="preserve">5. </t>
    </r>
    <r>
      <rPr>
        <sz val="10"/>
        <rFont val="Noto Sans CJK SC"/>
        <family val="2"/>
      </rPr>
      <t>한양대</t>
    </r>
  </si>
  <si>
    <r>
      <rPr>
        <sz val="10"/>
        <rFont val="Arial"/>
        <family val="2"/>
      </rPr>
      <t xml:space="preserve">6. </t>
    </r>
    <r>
      <rPr>
        <sz val="10"/>
        <rFont val="Noto Sans CJK SC"/>
        <family val="2"/>
      </rPr>
      <t>성수</t>
    </r>
  </si>
  <si>
    <r>
      <rPr>
        <sz val="10"/>
        <rFont val="Arial"/>
        <family val="2"/>
      </rPr>
      <t xml:space="preserve">7. </t>
    </r>
    <r>
      <rPr>
        <sz val="10"/>
        <rFont val="Noto Sans CJK SC"/>
        <family val="2"/>
      </rPr>
      <t>용답</t>
    </r>
  </si>
  <si>
    <r>
      <rPr>
        <sz val="10"/>
        <rFont val="Arial"/>
        <family val="2"/>
      </rPr>
      <t xml:space="preserve">8. </t>
    </r>
    <r>
      <rPr>
        <sz val="10"/>
        <rFont val="Noto Sans CJK SC"/>
        <family val="2"/>
      </rPr>
      <t>용두</t>
    </r>
  </si>
  <si>
    <r>
      <rPr>
        <sz val="10"/>
        <rFont val="Arial"/>
        <family val="2"/>
      </rPr>
      <t xml:space="preserve">9. </t>
    </r>
    <r>
      <rPr>
        <sz val="10"/>
        <rFont val="Noto Sans CJK SC"/>
        <family val="2"/>
      </rPr>
      <t>신설동</t>
    </r>
  </si>
  <si>
    <r>
      <rPr>
        <sz val="10"/>
        <rFont val="Arial"/>
        <family val="2"/>
      </rPr>
      <t xml:space="preserve">10. </t>
    </r>
    <r>
      <rPr>
        <sz val="10"/>
        <rFont val="Noto Sans CJK SC"/>
        <family val="2"/>
      </rPr>
      <t>건대입구</t>
    </r>
  </si>
  <si>
    <r>
      <rPr>
        <sz val="10"/>
        <rFont val="Arial"/>
        <family val="2"/>
      </rPr>
      <t xml:space="preserve">11. </t>
    </r>
    <r>
      <rPr>
        <sz val="10"/>
        <rFont val="Noto Sans CJK SC"/>
        <family val="2"/>
      </rPr>
      <t>구의</t>
    </r>
  </si>
  <si>
    <r>
      <rPr>
        <sz val="10"/>
        <rFont val="Arial"/>
        <family val="2"/>
      </rPr>
      <t xml:space="preserve">12. </t>
    </r>
    <r>
      <rPr>
        <sz val="10"/>
        <rFont val="Noto Sans CJK SC"/>
        <family val="2"/>
      </rPr>
      <t>잠실나루</t>
    </r>
  </si>
  <si>
    <r>
      <rPr>
        <sz val="10"/>
        <rFont val="Arial"/>
        <family val="2"/>
      </rPr>
      <t xml:space="preserve">13. </t>
    </r>
    <r>
      <rPr>
        <sz val="10"/>
        <rFont val="Noto Sans CJK SC"/>
        <family val="2"/>
      </rPr>
      <t>잠실</t>
    </r>
  </si>
  <si>
    <r>
      <rPr>
        <sz val="10"/>
        <rFont val="Arial"/>
        <family val="2"/>
      </rPr>
      <t xml:space="preserve">14. </t>
    </r>
    <r>
      <rPr>
        <sz val="10"/>
        <rFont val="Noto Sans CJK SC"/>
        <family val="2"/>
      </rPr>
      <t>삼성</t>
    </r>
  </si>
  <si>
    <r>
      <rPr>
        <sz val="10"/>
        <rFont val="Arial"/>
        <family val="2"/>
      </rPr>
      <t xml:space="preserve">15. </t>
    </r>
    <r>
      <rPr>
        <sz val="10"/>
        <rFont val="Noto Sans CJK SC"/>
        <family val="2"/>
      </rPr>
      <t>강남</t>
    </r>
  </si>
  <si>
    <r>
      <rPr>
        <sz val="10"/>
        <rFont val="Arial"/>
        <family val="2"/>
      </rPr>
      <t xml:space="preserve">16. </t>
    </r>
    <r>
      <rPr>
        <sz val="10"/>
        <rFont val="Noto Sans CJK SC"/>
        <family val="2"/>
      </rPr>
      <t>교대</t>
    </r>
  </si>
  <si>
    <r>
      <rPr>
        <sz val="10"/>
        <rFont val="Arial"/>
        <family val="2"/>
      </rPr>
      <t xml:space="preserve">17. </t>
    </r>
    <r>
      <rPr>
        <sz val="10"/>
        <rFont val="Noto Sans CJK SC"/>
        <family val="2"/>
      </rPr>
      <t>방배</t>
    </r>
  </si>
  <si>
    <r>
      <rPr>
        <sz val="10"/>
        <rFont val="Arial"/>
        <family val="2"/>
      </rPr>
      <t xml:space="preserve">18. </t>
    </r>
    <r>
      <rPr>
        <sz val="10"/>
        <rFont val="Noto Sans CJK SC"/>
        <family val="2"/>
      </rPr>
      <t>사당</t>
    </r>
  </si>
  <si>
    <r>
      <rPr>
        <sz val="10"/>
        <rFont val="Arial"/>
        <family val="2"/>
      </rPr>
      <t xml:space="preserve">19. </t>
    </r>
    <r>
      <rPr>
        <sz val="10"/>
        <rFont val="Noto Sans CJK SC"/>
        <family val="2"/>
      </rPr>
      <t>봉천</t>
    </r>
  </si>
  <si>
    <r>
      <rPr>
        <sz val="10"/>
        <rFont val="Arial"/>
        <family val="2"/>
      </rPr>
      <t xml:space="preserve">20. </t>
    </r>
    <r>
      <rPr>
        <sz val="10"/>
        <rFont val="Noto Sans CJK SC"/>
        <family val="2"/>
      </rPr>
      <t>신림</t>
    </r>
  </si>
  <si>
    <r>
      <rPr>
        <sz val="10"/>
        <rFont val="Arial"/>
        <family val="2"/>
      </rPr>
      <t xml:space="preserve">21. </t>
    </r>
    <r>
      <rPr>
        <sz val="10"/>
        <rFont val="Noto Sans CJK SC"/>
        <family val="2"/>
      </rPr>
      <t>신대방</t>
    </r>
  </si>
  <si>
    <r>
      <rPr>
        <sz val="10"/>
        <rFont val="Arial"/>
        <family val="2"/>
      </rPr>
      <t xml:space="preserve">22. </t>
    </r>
    <r>
      <rPr>
        <sz val="10"/>
        <rFont val="Noto Sans CJK SC"/>
        <family val="2"/>
      </rPr>
      <t>구로디지털단지</t>
    </r>
  </si>
  <si>
    <r>
      <rPr>
        <sz val="10"/>
        <rFont val="Arial"/>
        <family val="2"/>
      </rPr>
      <t xml:space="preserve">23. </t>
    </r>
    <r>
      <rPr>
        <sz val="10"/>
        <rFont val="Noto Sans CJK SC"/>
        <family val="2"/>
      </rPr>
      <t>대림</t>
    </r>
  </si>
  <si>
    <r>
      <rPr>
        <sz val="10"/>
        <rFont val="Arial"/>
        <family val="2"/>
      </rPr>
      <t xml:space="preserve">24. </t>
    </r>
    <r>
      <rPr>
        <sz val="10"/>
        <rFont val="Noto Sans CJK SC"/>
        <family val="2"/>
      </rPr>
      <t>신도림</t>
    </r>
  </si>
  <si>
    <r>
      <rPr>
        <sz val="10"/>
        <rFont val="Arial"/>
        <family val="2"/>
      </rPr>
      <t xml:space="preserve">25. </t>
    </r>
    <r>
      <rPr>
        <sz val="10"/>
        <rFont val="Noto Sans CJK SC"/>
        <family val="2"/>
      </rPr>
      <t>양천구청</t>
    </r>
  </si>
  <si>
    <r>
      <rPr>
        <sz val="10"/>
        <rFont val="Arial"/>
        <family val="2"/>
      </rPr>
      <t xml:space="preserve">26. </t>
    </r>
    <r>
      <rPr>
        <sz val="10"/>
        <rFont val="Noto Sans CJK SC"/>
        <family val="2"/>
      </rPr>
      <t>문래</t>
    </r>
  </si>
  <si>
    <r>
      <rPr>
        <sz val="10"/>
        <rFont val="Arial"/>
        <family val="2"/>
      </rPr>
      <t xml:space="preserve">27. </t>
    </r>
    <r>
      <rPr>
        <sz val="10"/>
        <rFont val="Noto Sans CJK SC"/>
        <family val="2"/>
      </rPr>
      <t>영등포구청</t>
    </r>
  </si>
  <si>
    <r>
      <rPr>
        <sz val="10"/>
        <rFont val="Arial"/>
        <family val="2"/>
      </rPr>
      <t xml:space="preserve">28. </t>
    </r>
    <r>
      <rPr>
        <sz val="10"/>
        <rFont val="Noto Sans CJK SC"/>
        <family val="2"/>
      </rPr>
      <t>당산</t>
    </r>
  </si>
  <si>
    <r>
      <rPr>
        <sz val="10"/>
        <rFont val="Arial"/>
        <family val="2"/>
      </rPr>
      <t xml:space="preserve">29. </t>
    </r>
    <r>
      <rPr>
        <sz val="10"/>
        <rFont val="Noto Sans CJK SC"/>
        <family val="2"/>
      </rPr>
      <t>합정</t>
    </r>
  </si>
  <si>
    <r>
      <rPr>
        <sz val="10"/>
        <rFont val="Arial"/>
        <family val="2"/>
      </rPr>
      <t xml:space="preserve">30. </t>
    </r>
    <r>
      <rPr>
        <sz val="10"/>
        <rFont val="Noto Sans CJK SC"/>
        <family val="2"/>
      </rPr>
      <t>홍대입구</t>
    </r>
  </si>
  <si>
    <r>
      <rPr>
        <sz val="10"/>
        <rFont val="Arial"/>
        <family val="2"/>
      </rPr>
      <t xml:space="preserve">31. </t>
    </r>
    <r>
      <rPr>
        <sz val="10"/>
        <rFont val="Noto Sans CJK SC"/>
        <family val="2"/>
      </rPr>
      <t>이대</t>
    </r>
  </si>
  <si>
    <r>
      <rPr>
        <sz val="10"/>
        <rFont val="Arial"/>
        <family val="2"/>
      </rPr>
      <t xml:space="preserve">32. </t>
    </r>
    <r>
      <rPr>
        <sz val="10"/>
        <rFont val="Noto Sans CJK SC"/>
        <family val="2"/>
      </rPr>
      <t>아현</t>
    </r>
  </si>
  <si>
    <r>
      <rPr>
        <sz val="10"/>
        <rFont val="Arial"/>
        <family val="2"/>
      </rPr>
      <t xml:space="preserve">33. </t>
    </r>
    <r>
      <rPr>
        <sz val="10"/>
        <rFont val="Noto Sans CJK SC"/>
        <family val="2"/>
      </rPr>
      <t>충정로</t>
    </r>
  </si>
  <si>
    <t>성수지선(용답)·신정지선 분기 포함. 까치산역은 데이터 확보 문제로 제외했다.</t>
  </si>
  <si>
    <r>
      <rPr>
        <b/>
        <sz val="11"/>
        <color rgb="FF1F3864"/>
        <rFont val="Arial"/>
        <family val="2"/>
      </rPr>
      <t xml:space="preserve">3.4  </t>
    </r>
    <r>
      <rPr>
        <b/>
        <sz val="11"/>
        <color rgb="FF1F3864"/>
        <rFont val="Noto Sans CJK SC"/>
        <family val="2"/>
      </rPr>
      <t xml:space="preserve">사용 </t>
    </r>
    <r>
      <rPr>
        <b/>
        <sz val="11"/>
        <color rgb="FF1F3864"/>
        <rFont val="Arial"/>
        <family val="2"/>
      </rPr>
      <t xml:space="preserve">Python </t>
    </r>
    <r>
      <rPr>
        <b/>
        <sz val="11"/>
        <color rgb="FF1F3864"/>
        <rFont val="Noto Sans CJK SC"/>
        <family val="2"/>
      </rPr>
      <t>라이브러리</t>
    </r>
  </si>
  <si>
    <t>라이브러리</t>
  </si>
  <si>
    <t>용도</t>
  </si>
  <si>
    <t>pandas</t>
  </si>
  <si>
    <r>
      <rPr>
        <sz val="10"/>
        <rFont val="Arial"/>
        <family val="2"/>
      </rPr>
      <t xml:space="preserve">CSV </t>
    </r>
    <r>
      <rPr>
        <sz val="10"/>
        <rFont val="Noto Sans CJK SC"/>
        <family val="2"/>
      </rPr>
      <t>통합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전처리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집계</t>
    </r>
    <r>
      <rPr>
        <sz val="10"/>
        <rFont val="Arial"/>
        <family val="2"/>
      </rPr>
      <t>, merge</t>
    </r>
  </si>
  <si>
    <t>numpy</t>
  </si>
  <si>
    <t>수치 연산 및 결측 처리</t>
  </si>
  <si>
    <t>sqlalchemy</t>
  </si>
  <si>
    <r>
      <rPr>
        <sz val="10"/>
        <rFont val="Arial"/>
        <family val="2"/>
      </rPr>
      <t xml:space="preserve">MySQL </t>
    </r>
    <r>
      <rPr>
        <sz val="10"/>
        <rFont val="Noto Sans CJK SC"/>
        <family val="2"/>
      </rPr>
      <t>연결 엔진 생성</t>
    </r>
  </si>
  <si>
    <t>pymysql</t>
  </si>
  <si>
    <r>
      <rPr>
        <sz val="10"/>
        <rFont val="Arial"/>
        <family val="2"/>
      </rPr>
      <t xml:space="preserve">MySQL </t>
    </r>
    <r>
      <rPr>
        <sz val="10"/>
        <rFont val="Noto Sans CJK SC"/>
        <family val="2"/>
      </rPr>
      <t>드라이버</t>
    </r>
  </si>
  <si>
    <t>scipy</t>
  </si>
  <si>
    <r>
      <rPr>
        <sz val="10"/>
        <rFont val="Arial"/>
        <family val="2"/>
      </rPr>
      <t xml:space="preserve">Pearson </t>
    </r>
    <r>
      <rPr>
        <sz val="10"/>
        <rFont val="Noto Sans CJK SC"/>
        <family val="2"/>
      </rPr>
      <t>상관계수 및 유의성 검정</t>
    </r>
  </si>
  <si>
    <t>산점도·4분면 시각화 (분석 단계 확인용)</t>
  </si>
  <si>
    <r>
      <rPr>
        <b/>
        <sz val="14"/>
        <color rgb="FFFFFFFF"/>
        <rFont val="Arial"/>
        <family val="2"/>
      </rPr>
      <t xml:space="preserve">4. </t>
    </r>
    <r>
      <rPr>
        <b/>
        <sz val="14"/>
        <color rgb="FFFFFFFF"/>
        <rFont val="Noto Sans CJK SC"/>
        <family val="2"/>
      </rPr>
      <t>데이터 수집 및 전처리</t>
    </r>
  </si>
  <si>
    <t>Preprocessing</t>
  </si>
  <si>
    <r>
      <rPr>
        <b/>
        <sz val="11"/>
        <color rgb="FF1F3864"/>
        <rFont val="Arial"/>
        <family val="2"/>
      </rPr>
      <t xml:space="preserve">4.1  </t>
    </r>
    <r>
      <rPr>
        <b/>
        <sz val="11"/>
        <color rgb="FF1F3864"/>
        <rFont val="Noto Sans CJK SC"/>
        <family val="2"/>
      </rPr>
      <t>지하철 데이터 전처리</t>
    </r>
  </si>
  <si>
    <t>처리 항목</t>
  </si>
  <si>
    <t>결과</t>
  </si>
  <si>
    <t>연도별 CSV 통합</t>
  </si>
  <si>
    <r>
      <rPr>
        <sz val="10"/>
        <rFont val="Arial"/>
        <family val="2"/>
      </rPr>
      <t>2022~2025</t>
    </r>
    <r>
      <rPr>
        <sz val="10"/>
        <rFont val="Noto Sans CJK SC"/>
        <family val="2"/>
      </rPr>
      <t xml:space="preserve">년 연도별 파일을 </t>
    </r>
    <r>
      <rPr>
        <sz val="10"/>
        <rFont val="Arial"/>
        <family val="2"/>
      </rPr>
      <t>Pandas</t>
    </r>
    <r>
      <rPr>
        <sz val="10"/>
        <rFont val="Noto Sans CJK SC"/>
        <family val="2"/>
      </rPr>
      <t>로 하나로 결합</t>
    </r>
  </si>
  <si>
    <t>통합 원본</t>
  </si>
  <si>
    <t>연도 추출</t>
  </si>
  <si>
    <t>사용일자(YYYYMMDD)에서 연도(year)만 추출</t>
  </si>
  <si>
    <r>
      <rPr>
        <sz val="10"/>
        <rFont val="Arial"/>
        <family val="2"/>
      </rPr>
      <t xml:space="preserve">year </t>
    </r>
    <r>
      <rPr>
        <sz val="10"/>
        <rFont val="Noto Sans CJK SC"/>
        <family val="2"/>
      </rPr>
      <t>컬럼</t>
    </r>
  </si>
  <si>
    <r>
      <rPr>
        <sz val="10"/>
        <rFont val="Arial"/>
        <family val="2"/>
      </rPr>
      <t>2</t>
    </r>
    <r>
      <rPr>
        <sz val="10"/>
        <rFont val="Noto Sans CJK SC"/>
        <family val="2"/>
      </rPr>
      <t>호선 필터링</t>
    </r>
  </si>
  <si>
    <t>호선명 기준으로 서울 지하철 2호선만 추출</t>
  </si>
  <si>
    <r>
      <rPr>
        <sz val="10"/>
        <rFont val="Arial"/>
        <family val="2"/>
      </rPr>
      <t>2</t>
    </r>
    <r>
      <rPr>
        <sz val="10"/>
        <rFont val="Noto Sans CJK SC"/>
        <family val="2"/>
      </rPr>
      <t>호선 데이터</t>
    </r>
  </si>
  <si>
    <t>역명 정리</t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</si>
  <si>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역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접미사 제거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부역명 병기 표기를 </t>
    </r>
    <r>
      <rPr>
        <sz val="10"/>
        <rFont val="Arial"/>
        <family val="2"/>
      </rPr>
      <t>33</t>
    </r>
    <r>
      <rPr>
        <sz val="10"/>
        <rFont val="Noto Sans CJK SC"/>
        <family val="2"/>
      </rPr>
      <t>개 역 기준으로 통일</t>
    </r>
  </si>
  <si>
    <r>
      <rPr>
        <sz val="10"/>
        <rFont val="Arial"/>
        <family val="2"/>
      </rPr>
      <t xml:space="preserve">station_name </t>
    </r>
    <r>
      <rPr>
        <sz val="10"/>
        <rFont val="Noto Sans CJK SC"/>
        <family val="2"/>
      </rPr>
      <t>통일</t>
    </r>
  </si>
  <si>
    <t>인원 확인</t>
  </si>
  <si>
    <t>승차·하차 인원 결측 및 이상값 확인</t>
  </si>
  <si>
    <t>검증 완료</t>
  </si>
  <si>
    <t>파생 컬럼 생성</t>
  </si>
  <si>
    <t>총이용량 = 승차총승객수 + 하차총승객수</t>
  </si>
  <si>
    <t>total_ridership</t>
  </si>
  <si>
    <t>연도·역별 집계</t>
  </si>
  <si>
    <r>
      <rPr>
        <sz val="10"/>
        <rFont val="Arial"/>
        <family val="2"/>
      </rPr>
      <t xml:space="preserve">year × station_name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2"/>
      </rPr>
      <t xml:space="preserve">GROUP BY </t>
    </r>
    <r>
      <rPr>
        <sz val="10"/>
        <rFont val="Noto Sans CJK SC"/>
        <family val="2"/>
      </rPr>
      <t>합계</t>
    </r>
  </si>
  <si>
    <r>
      <rPr>
        <sz val="10"/>
        <rFont val="Arial"/>
        <family val="2"/>
      </rPr>
      <t>33</t>
    </r>
    <r>
      <rPr>
        <sz val="10"/>
        <rFont val="Noto Sans CJK SC"/>
        <family val="2"/>
      </rPr>
      <t xml:space="preserve">개 역 </t>
    </r>
    <r>
      <rPr>
        <sz val="10"/>
        <rFont val="Arial"/>
        <family val="2"/>
      </rPr>
      <t>× 4</t>
    </r>
    <r>
      <rPr>
        <sz val="10"/>
        <rFont val="Noto Sans CJK SC"/>
        <family val="2"/>
      </rPr>
      <t>개 연도</t>
    </r>
  </si>
  <si>
    <t>최종적으로 2호선 33개 역의 연간 이용량 데이터를 구축했다.</t>
  </si>
  <si>
    <r>
      <rPr>
        <b/>
        <sz val="11"/>
        <color rgb="FF1F3864"/>
        <rFont val="Arial"/>
        <family val="2"/>
      </rPr>
      <t xml:space="preserve">4.2  </t>
    </r>
    <r>
      <rPr>
        <b/>
        <sz val="11"/>
        <color rgb="FF1F3864"/>
        <rFont val="Noto Sans CJK SC"/>
        <family val="2"/>
      </rPr>
      <t>부동산 데이터 전처리</t>
    </r>
  </si>
  <si>
    <t>계약연월(YYYYMM)에서 연도만 추출</t>
  </si>
  <si>
    <t>역명 매칭</t>
  </si>
  <si>
    <t>시군구·법정동을 2호선 33개 역 매핑표와 대조해 역명 부여</t>
  </si>
  <si>
    <t>station_name</t>
  </si>
  <si>
    <t>주택 유형 통일</t>
  </si>
  <si>
    <t>아파트 / 연립다세대 / 단독다가구 / 오피스텔 4종으로 통일</t>
  </si>
  <si>
    <t>housing_type</t>
  </si>
  <si>
    <t>거래 유형 구분</t>
  </si>
  <si>
    <t>매매 / 전세 / 월세 3종으로 구분</t>
  </si>
  <si>
    <t>transaction_type</t>
  </si>
  <si>
    <t>데이터 타입 변환</t>
  </si>
  <si>
    <t>거래금액·보증금·임대료의 콤마 제거 후 정수형 변환</t>
  </si>
  <si>
    <t>정수형 금액</t>
  </si>
  <si>
    <t>결측값 확인</t>
  </si>
  <si>
    <t>전세는 임대료 없음, 매매는 보증금 없음 — 구조적 결측 확인 후 유지</t>
  </si>
  <si>
    <t>평균 거래금액 산출</t>
  </si>
  <si>
    <t>역 × 연도 × 주택유형 × 거래유형 기준 평균 산출</t>
  </si>
  <si>
    <t>분석용 집계 데이터</t>
  </si>
  <si>
    <r>
      <rPr>
        <b/>
        <sz val="11"/>
        <color rgb="FF1F3864"/>
        <rFont val="Arial"/>
        <family val="2"/>
      </rPr>
      <t xml:space="preserve">4.3  </t>
    </r>
    <r>
      <rPr>
        <b/>
        <sz val="11"/>
        <color rgb="FF1F3864"/>
        <rFont val="Noto Sans CJK SC"/>
        <family val="2"/>
      </rPr>
      <t>주요 데이터 구조</t>
    </r>
  </si>
  <si>
    <t>컬럼</t>
  </si>
  <si>
    <t>설명</t>
  </si>
  <si>
    <t>예시</t>
  </si>
  <si>
    <t>지하철</t>
  </si>
  <si>
    <t>year</t>
  </si>
  <si>
    <t>연도</t>
  </si>
  <si>
    <t>2023</t>
  </si>
  <si>
    <t>역명</t>
  </si>
  <si>
    <t>강남</t>
  </si>
  <si>
    <t>total_boarding_passengers</t>
  </si>
  <si>
    <t>총 승차인원</t>
  </si>
  <si>
    <t>18,432,110</t>
  </si>
  <si>
    <t>total_alighting_passengers</t>
  </si>
  <si>
    <t>총 하차인원</t>
  </si>
  <si>
    <t>18,901,553</t>
  </si>
  <si>
    <t>총 이용량 (승차 + 하차)</t>
  </si>
  <si>
    <t>37,333,663</t>
  </si>
  <si>
    <t>부동산</t>
  </si>
  <si>
    <t>transaction_amount</t>
  </si>
  <si>
    <t>거래금액 (만원)</t>
  </si>
  <si>
    <t>125,000</t>
  </si>
  <si>
    <t>주택유형</t>
  </si>
  <si>
    <t>아파트</t>
  </si>
  <si>
    <t>거래유형</t>
  </si>
  <si>
    <t>매매</t>
  </si>
  <si>
    <t>deposit</t>
  </si>
  <si>
    <t>보증금 (만원)</t>
  </si>
  <si>
    <t>60,000</t>
  </si>
  <si>
    <t>rent</t>
  </si>
  <si>
    <t>임대료 (만원)</t>
  </si>
  <si>
    <t>150</t>
  </si>
  <si>
    <t>전용면적 컬럼이 정리 과정에서 빠져 있어 평당가격(㎡당 단가)은 산출할 수 없다. 면적 보정 없는 평균가 비교라는 점을 보고서 '한계'에 반드시 적을 것.</t>
  </si>
  <si>
    <r>
      <rPr>
        <b/>
        <sz val="14"/>
        <color rgb="FFFFFFFF"/>
        <rFont val="Arial"/>
        <family val="2"/>
      </rPr>
      <t xml:space="preserve">5. MySQL Database </t>
    </r>
    <r>
      <rPr>
        <b/>
        <sz val="14"/>
        <color rgb="FFFFFFFF"/>
        <rFont val="Noto Sans CJK SC"/>
        <family val="2"/>
      </rPr>
      <t>설계</t>
    </r>
  </si>
  <si>
    <t>Database: subway_realestate</t>
  </si>
  <si>
    <r>
      <rPr>
        <b/>
        <sz val="11"/>
        <color rgb="FF1F3864"/>
        <rFont val="Arial"/>
        <family val="2"/>
      </rPr>
      <t xml:space="preserve">5.1  </t>
    </r>
    <r>
      <rPr>
        <b/>
        <sz val="11"/>
        <color rgb="FF1F3864"/>
        <rFont val="Noto Sans CJK SC"/>
        <family val="2"/>
      </rPr>
      <t>테이블 구성</t>
    </r>
  </si>
  <si>
    <t>테이블</t>
  </si>
  <si>
    <t>역할</t>
  </si>
  <si>
    <t>주요 컬럼</t>
  </si>
  <si>
    <t>비고</t>
  </si>
  <si>
    <t>subway</t>
  </si>
  <si>
    <t>지하철 역별 이용량 원본</t>
  </si>
  <si>
    <t>역 × 일자</t>
  </si>
  <si>
    <t>year, station_name, total_boarding_passengers, total_alighting_passengers, total_ridership</t>
  </si>
  <si>
    <t>원본 보존</t>
  </si>
  <si>
    <t>real_estate</t>
  </si>
  <si>
    <t>부동산 거래 데이터</t>
  </si>
  <si>
    <t>거래 1건</t>
  </si>
  <si>
    <t>year, station_name, transaction_amount, housing_type, transaction_type, deposit, rent</t>
  </si>
  <si>
    <t>거래 단위</t>
  </si>
  <si>
    <t>subway_annual</t>
  </si>
  <si>
    <t>연도별·역별 이용량 집계</t>
  </si>
  <si>
    <t>역 × 연도</t>
  </si>
  <si>
    <t>year, station_name, total_ridership</t>
  </si>
  <si>
    <r>
      <rPr>
        <sz val="10"/>
        <rFont val="Arial"/>
        <family val="2"/>
      </rPr>
      <t>33 × 4 = 132</t>
    </r>
    <r>
      <rPr>
        <sz val="10"/>
        <rFont val="Noto Sans CJK SC"/>
        <family val="2"/>
      </rPr>
      <t>행</t>
    </r>
  </si>
  <si>
    <r>
      <rPr>
        <b/>
        <sz val="11"/>
        <color rgb="FF1F3864"/>
        <rFont val="Arial"/>
        <family val="2"/>
      </rPr>
      <t xml:space="preserve">5.2  </t>
    </r>
    <r>
      <rPr>
        <b/>
        <sz val="11"/>
        <color rgb="FF1F3864"/>
        <rFont val="Noto Sans CJK SC"/>
        <family val="2"/>
      </rPr>
      <t>주요 인덱스</t>
    </r>
  </si>
  <si>
    <t>인덱스명</t>
  </si>
  <si>
    <t>구성 컬럼</t>
  </si>
  <si>
    <t>idx_subway_year_station</t>
  </si>
  <si>
    <t>(year, station_name)</t>
  </si>
  <si>
    <t>연도+역명 조회 및 집계 성능</t>
  </si>
  <si>
    <t>idx_realestate_year_station</t>
  </si>
  <si>
    <t>부동산 ↔ 지하철 JOIN 성능</t>
  </si>
  <si>
    <t>연도 + 역명을 공통 키로 두어 지하철과 부동산 데이터를 연결한다.</t>
  </si>
  <si>
    <r>
      <rPr>
        <b/>
        <sz val="11"/>
        <color rgb="FF1F3864"/>
        <rFont val="Arial"/>
        <family val="2"/>
      </rPr>
      <t xml:space="preserve">5.3  </t>
    </r>
    <r>
      <rPr>
        <b/>
        <sz val="11"/>
        <color rgb="FF1F3864"/>
        <rFont val="Noto Sans CJK SC"/>
        <family val="2"/>
      </rPr>
      <t>데이터 결합 구조</t>
    </r>
  </si>
  <si>
    <t>subway_annual                        real_estate</t>
  </si>
  <si>
    <t xml:space="preserve">  year, station_name, total_ridership   year, station_name, housing_type,</t>
  </si>
  <si>
    <t xml:space="preserve">                                        transaction_type, transaction_amount</t>
  </si>
  <si>
    <t xml:space="preserve">            └──────────  JOIN ON year + station_name  ──────────┘</t>
  </si>
  <si>
    <t xml:space="preserve">  → 최종 분석 데이터</t>
  </si>
  <si>
    <t xml:space="preserve">     year | station_name | total_ridership | housing_type | transaction_type | avg_transaction_amount</t>
  </si>
  <si>
    <r>
      <rPr>
        <b/>
        <sz val="11"/>
        <color rgb="FF1F3864"/>
        <rFont val="Arial"/>
        <family val="2"/>
      </rPr>
      <t xml:space="preserve">5.4  </t>
    </r>
    <r>
      <rPr>
        <b/>
        <sz val="11"/>
        <color rgb="FF1F3864"/>
        <rFont val="Noto Sans CJK SC"/>
        <family val="2"/>
      </rPr>
      <t xml:space="preserve">분석용 </t>
    </r>
    <r>
      <rPr>
        <b/>
        <sz val="11"/>
        <color rgb="FF1F3864"/>
        <rFont val="Arial"/>
        <family val="2"/>
      </rPr>
      <t xml:space="preserve">SQL </t>
    </r>
    <r>
      <rPr>
        <b/>
        <sz val="11"/>
        <color rgb="FF1F3864"/>
        <rFont val="Noto Sans CJK SC"/>
        <family val="2"/>
      </rPr>
      <t>예시</t>
    </r>
  </si>
  <si>
    <r>
      <rPr>
        <sz val="9"/>
        <color rgb="FF1F7A3D"/>
        <rFont val="Consolas"/>
        <family val="3"/>
      </rPr>
      <t xml:space="preserve">-- </t>
    </r>
    <r>
      <rPr>
        <sz val="9"/>
        <color rgb="FF1F7A3D"/>
        <rFont val="Noto Sans CJK SC"/>
        <family val="2"/>
      </rPr>
      <t xml:space="preserve">연도 </t>
    </r>
    <r>
      <rPr>
        <sz val="9"/>
        <color rgb="FF1F7A3D"/>
        <rFont val="Consolas"/>
        <family val="3"/>
      </rPr>
      <t xml:space="preserve">× </t>
    </r>
    <r>
      <rPr>
        <sz val="9"/>
        <color rgb="FF1F7A3D"/>
        <rFont val="Noto Sans CJK SC"/>
        <family val="2"/>
      </rPr>
      <t xml:space="preserve">역 </t>
    </r>
    <r>
      <rPr>
        <sz val="9"/>
        <color rgb="FF1F7A3D"/>
        <rFont val="Consolas"/>
        <family val="3"/>
      </rPr>
      <t xml:space="preserve">× </t>
    </r>
    <r>
      <rPr>
        <sz val="9"/>
        <color rgb="FF1F7A3D"/>
        <rFont val="Noto Sans CJK SC"/>
        <family val="2"/>
      </rPr>
      <t xml:space="preserve">주택유형 </t>
    </r>
    <r>
      <rPr>
        <sz val="9"/>
        <color rgb="FF1F7A3D"/>
        <rFont val="Consolas"/>
        <family val="3"/>
      </rPr>
      <t xml:space="preserve">× </t>
    </r>
    <r>
      <rPr>
        <sz val="9"/>
        <color rgb="FF1F7A3D"/>
        <rFont val="Noto Sans CJK SC"/>
        <family val="2"/>
      </rPr>
      <t xml:space="preserve">거래유형 평균 거래금액 </t>
    </r>
    <r>
      <rPr>
        <sz val="9"/>
        <color rgb="FF1F7A3D"/>
        <rFont val="Consolas"/>
        <family val="3"/>
      </rPr>
      <t xml:space="preserve">+ </t>
    </r>
    <r>
      <rPr>
        <sz val="9"/>
        <color rgb="FF1F7A3D"/>
        <rFont val="Noto Sans CJK SC"/>
        <family val="2"/>
      </rPr>
      <t>이용량</t>
    </r>
  </si>
  <si>
    <t>SELECT  s.year,  s.station_name,  s.total_ridership,</t>
  </si>
  <si>
    <t xml:space="preserve">        r.housing_type,  r.transaction_type,</t>
  </si>
  <si>
    <t xml:space="preserve">        AVG(r.transaction_amount) AS avg_transaction_amount,</t>
  </si>
  <si>
    <t xml:space="preserve">        COUNT(*)                  AS trade_count</t>
  </si>
  <si>
    <t>FROM        subway_annual  AS s</t>
  </si>
  <si>
    <t>INNER JOIN  real_estate    AS r</t>
  </si>
  <si>
    <t xml:space="preserve">        ON  s.year = r.year</t>
  </si>
  <si>
    <t xml:space="preserve">       AND  s.station_name = r.station_name</t>
  </si>
  <si>
    <t>WHERE   s.year BETWEEN 2022 AND 2025</t>
  </si>
  <si>
    <t>GROUP BY s.year, s.station_name, s.total_ridership,</t>
  </si>
  <si>
    <t xml:space="preserve">         r.housing_type, r.transaction_type</t>
  </si>
  <si>
    <t>ORDER BY s.year, s.station_name;</t>
  </si>
  <si>
    <r>
      <rPr>
        <b/>
        <sz val="9"/>
        <color rgb="FFC00000"/>
        <rFont val="Arial"/>
        <family val="2"/>
      </rPr>
      <t>※ trade_count</t>
    </r>
    <r>
      <rPr>
        <b/>
        <sz val="9"/>
        <color rgb="FFC00000"/>
        <rFont val="Noto Sans CJK SC"/>
        <family val="2"/>
      </rPr>
      <t>를 함께 뽑는 이유</t>
    </r>
    <r>
      <rPr>
        <b/>
        <sz val="9"/>
        <color rgb="FFC00000"/>
        <rFont val="Arial"/>
        <family val="2"/>
      </rPr>
      <t xml:space="preserve">: </t>
    </r>
    <r>
      <rPr>
        <b/>
        <sz val="9"/>
        <color rgb="FFC00000"/>
        <rFont val="Noto Sans CJK SC"/>
        <family val="2"/>
      </rPr>
      <t>거래 건수가 적은 조합은 평균값이 흔들려 상관계수를 왜곡시킨다</t>
    </r>
    <r>
      <rPr>
        <b/>
        <sz val="9"/>
        <color rgb="FFC00000"/>
        <rFont val="Arial"/>
        <family val="2"/>
      </rPr>
      <t>. 30</t>
    </r>
    <r>
      <rPr>
        <b/>
        <sz val="9"/>
        <color rgb="FFC00000"/>
        <rFont val="Noto Sans CJK SC"/>
        <family val="2"/>
      </rPr>
      <t>건 미만 구간은 해석에서 제외하거나 별도 표기할 것</t>
    </r>
    <r>
      <rPr>
        <b/>
        <sz val="9"/>
        <color rgb="FFC00000"/>
        <rFont val="Arial"/>
        <family val="2"/>
      </rPr>
      <t>.</t>
    </r>
  </si>
  <si>
    <r>
      <rPr>
        <b/>
        <sz val="14"/>
        <color rgb="FFFFFFFF"/>
        <rFont val="Arial"/>
        <family val="2"/>
      </rPr>
      <t xml:space="preserve">6. </t>
    </r>
    <r>
      <rPr>
        <b/>
        <sz val="14"/>
        <color rgb="FFFFFFFF"/>
        <rFont val="Noto Sans CJK SC"/>
        <family val="2"/>
      </rPr>
      <t>분석 결과</t>
    </r>
  </si>
  <si>
    <r>
      <rPr>
        <i/>
        <sz val="9"/>
        <color rgb="FF595959"/>
        <rFont val="Arial"/>
        <family val="2"/>
      </rPr>
      <t>2022~2025</t>
    </r>
    <r>
      <rPr>
        <i/>
        <sz val="9"/>
        <color rgb="FF595959"/>
        <rFont val="Noto Sans CJK SC"/>
        <family val="2"/>
      </rPr>
      <t xml:space="preserve">년 </t>
    </r>
    <r>
      <rPr>
        <i/>
        <sz val="9"/>
        <color rgb="FF595959"/>
        <rFont val="Arial"/>
        <family val="2"/>
      </rPr>
      <t>· 33</t>
    </r>
    <r>
      <rPr>
        <i/>
        <sz val="9"/>
        <color rgb="FF595959"/>
        <rFont val="Noto Sans CJK SC"/>
        <family val="2"/>
      </rPr>
      <t xml:space="preserve">개 역 </t>
    </r>
    <r>
      <rPr>
        <i/>
        <sz val="9"/>
        <color rgb="FF595959"/>
        <rFont val="Arial"/>
        <family val="2"/>
      </rPr>
      <t>· 48</t>
    </r>
    <r>
      <rPr>
        <i/>
        <sz val="9"/>
        <color rgb="FF595959"/>
        <rFont val="Noto Sans CJK SC"/>
        <family val="2"/>
      </rPr>
      <t xml:space="preserve">개 조합 </t>
    </r>
    <r>
      <rPr>
        <i/>
        <sz val="9"/>
        <color rgb="FF595959"/>
        <rFont val="Arial"/>
        <family val="2"/>
      </rPr>
      <t>(4</t>
    </r>
    <r>
      <rPr>
        <i/>
        <sz val="9"/>
        <color rgb="FF595959"/>
        <rFont val="Noto Sans CJK SC"/>
        <family val="2"/>
      </rPr>
      <t xml:space="preserve">연도 </t>
    </r>
    <r>
      <rPr>
        <i/>
        <sz val="9"/>
        <color rgb="FF595959"/>
        <rFont val="Arial"/>
        <family val="2"/>
      </rPr>
      <t>× 4</t>
    </r>
    <r>
      <rPr>
        <i/>
        <sz val="9"/>
        <color rgb="FF595959"/>
        <rFont val="Noto Sans CJK SC"/>
        <family val="2"/>
      </rPr>
      <t xml:space="preserve">주택유형 </t>
    </r>
    <r>
      <rPr>
        <i/>
        <sz val="9"/>
        <color rgb="FF595959"/>
        <rFont val="Arial"/>
        <family val="2"/>
      </rPr>
      <t>× 3</t>
    </r>
    <r>
      <rPr>
        <i/>
        <sz val="9"/>
        <color rgb="FF595959"/>
        <rFont val="Noto Sans CJK SC"/>
        <family val="2"/>
      </rPr>
      <t>거래유형</t>
    </r>
    <r>
      <rPr>
        <i/>
        <sz val="9"/>
        <color rgb="FF595959"/>
        <rFont val="Arial"/>
        <family val="2"/>
      </rPr>
      <t>)</t>
    </r>
  </si>
  <si>
    <t>판정 기준</t>
  </si>
  <si>
    <t>표본 수 (역)</t>
  </si>
  <si>
    <t>유의 임계값 r*</t>
  </si>
  <si>
    <r>
      <rPr>
        <sz val="9"/>
        <color rgb="FF595959"/>
        <rFont val="Arial"/>
        <family val="2"/>
      </rPr>
      <t xml:space="preserve">n=33, α=0.05 </t>
    </r>
    <r>
      <rPr>
        <sz val="9"/>
        <color rgb="FF595959"/>
        <rFont val="Noto Sans CJK SC"/>
        <family val="2"/>
      </rPr>
      <t>양측검정 기준</t>
    </r>
  </si>
  <si>
    <t>분석 1.  연도별 변화 (2022~2025)</t>
  </si>
  <si>
    <t>지하철 이용량 (만 명)</t>
  </si>
  <si>
    <t>이용량 증감률</t>
  </si>
  <si>
    <t>평균 거래금액 (만원)</t>
  </si>
  <si>
    <t>가격 증감률</t>
  </si>
  <si>
    <t>2022</t>
  </si>
  <si>
    <t>—</t>
  </si>
  <si>
    <t>2024</t>
  </si>
  <si>
    <t>2025</t>
  </si>
  <si>
    <t>이용량은 4년 내내 증가했지만 증가폭은 8.2% → 2.9% → 1.7%로 줄었다. 반면 가격 상승률은 7.9% → 7.8% → 12.7%로 마지막 해에 커졌다. 두 지표가 같은 방향으로 움직이되 폭은 다르다.</t>
  </si>
  <si>
    <t>분석 2.  주택 유형별 평균 상관계수</t>
  </si>
  <si>
    <t>평균 상관계수</t>
  </si>
  <si>
    <t>유의성</t>
  </si>
  <si>
    <t>해석</t>
  </si>
  <si>
    <t>단독다가구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</si>
  <si>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개 유형 중 가장 강함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다만 거래 건수가 적어 평균이 흔들릴 수 있음</t>
    </r>
  </si>
  <si>
    <t>약한 양의 관계. 임계값 미달로 통계적으로는 단정할 수 없음</t>
  </si>
  <si>
    <t>연립다세대</t>
  </si>
  <si>
    <t>관계가 거의 나타나지 않음</t>
  </si>
  <si>
    <t>오피스텔</t>
  </si>
  <si>
    <t>사실상 무관계. 매매만 보면 전 기간 음의 상관</t>
  </si>
  <si>
    <t>분석 3.  거래 유형별 평균 상관계수</t>
  </si>
  <si>
    <t>월세</t>
  </si>
  <si>
    <r>
      <rPr>
        <sz val="10"/>
        <rFont val="Arial"/>
        <family val="2"/>
      </rPr>
      <t>3</t>
    </r>
    <r>
      <rPr>
        <sz val="10"/>
        <rFont val="Noto Sans CJK SC"/>
        <family val="2"/>
      </rPr>
      <t>개 유형 중 가장 높지만 임계값 미달</t>
    </r>
  </si>
  <si>
    <t>약한 양의 관계</t>
  </si>
  <si>
    <t>전세</t>
  </si>
  <si>
    <t>관계가 거의 없음</t>
  </si>
  <si>
    <t>월세가 매매보다 높게 나온 점은 눈여겨볼 만하다. 월세 보증금은 금액대가 좁아 역별 편차가 이용량과 더 직접 연결될 수 있다.</t>
  </si>
  <si>
    <t>분석 4.  연도별 평균 상관계수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</si>
  <si>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개 연도 중 가장 높음</t>
    </r>
  </si>
  <si>
    <t>가장 낮음</t>
  </si>
  <si>
    <t>회복</t>
  </si>
  <si>
    <r>
      <rPr>
        <sz val="10"/>
        <rFont val="Arial"/>
        <family val="2"/>
      </rPr>
      <t>2024</t>
    </r>
    <r>
      <rPr>
        <sz val="10"/>
        <rFont val="Noto Sans CJK SC"/>
        <family val="2"/>
      </rPr>
      <t>년과 비슷한 수준 유지</t>
    </r>
  </si>
  <si>
    <t>연도별 상관계수는 0.18~0.26 범위에서 오갈 뿐 뚜렷한 추세가 없다. 특정 연도에 관계가 강해진다고 보기 어렵다.</t>
  </si>
  <si>
    <t>분석 5.  상관계수 상위 조합 (48개 중 상위 5개)</t>
  </si>
  <si>
    <t>순위</t>
  </si>
  <si>
    <t>상관계수</t>
  </si>
  <si>
    <t>상위 5개 중 3개가 '단독다가구 매매'다. 반대로 오피스텔 매매는 전 기간에서 음의 상관관계가 나타났다.</t>
  </si>
  <si>
    <t>결과 해석 시 반드시 확인할 것</t>
  </si>
  <si>
    <t>① 전체 평균 상관계수는 대부분 임계값(0.344) 아래다. '이용량이 높으면 가격도 높다'를 단정할 수 없다는 뜻이며, 이것 자체가 유효한 결론이다.</t>
  </si>
  <si>
    <t>② 단독다가구가 가장 높게 나온 이유를 거래 건수로 확인해야 한다. 단독다가구는 전체 거래 중 비중이 가장 작아, 역당 표본이 적으면 상관계수가 크게 흔들린다.</t>
  </si>
  <si>
    <t>③ 오피스텔 매매의 음의 상관은 오피스텔이 업무지구에 몰려 있고 면적이 작아 평균 거래금액이 낮게 잡히기 때문일 가능성이 크다. 면적 보정 없이 해석하지 말 것.</t>
  </si>
  <si>
    <t>④ 연도별 평균 거래금액을 거래유형 구분 없이 합쳐 계산했는지 확인이 필요하다. 매매(억 단위)와 월세보증금(천만 단위)이 섞이면 평균이 의미를 잃는다.</t>
  </si>
  <si>
    <r>
      <rPr>
        <b/>
        <sz val="14"/>
        <color rgb="FFFFFFFF"/>
        <rFont val="Arial"/>
        <family val="2"/>
      </rPr>
      <t>7. 4</t>
    </r>
    <r>
      <rPr>
        <b/>
        <sz val="14"/>
        <color rgb="FFFFFFFF"/>
        <rFont val="Noto Sans CJK SC"/>
        <family val="2"/>
      </rPr>
      <t>분면 분석 — 역 유형 분류</t>
    </r>
  </si>
  <si>
    <t>역별 이용량과 평균 거래금액의 중앙값 기준</t>
  </si>
  <si>
    <r>
      <rPr>
        <b/>
        <sz val="11"/>
        <color rgb="FF1F3864"/>
        <rFont val="Arial"/>
        <family val="2"/>
      </rPr>
      <t xml:space="preserve">7.1  </t>
    </r>
    <r>
      <rPr>
        <b/>
        <sz val="11"/>
        <color rgb="FF1F3864"/>
        <rFont val="Noto Sans CJK SC"/>
        <family val="2"/>
      </rPr>
      <t>분류 기준</t>
    </r>
  </si>
  <si>
    <r>
      <rPr>
        <sz val="10"/>
        <rFont val="Arial"/>
        <family val="2"/>
      </rPr>
      <t>· X</t>
    </r>
    <r>
      <rPr>
        <sz val="10"/>
        <rFont val="Noto Sans CJK SC"/>
        <family val="2"/>
      </rPr>
      <t>축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역별 지하철 총이용량   </t>
    </r>
    <r>
      <rPr>
        <sz val="10"/>
        <rFont val="Arial"/>
        <family val="2"/>
      </rPr>
      <t>·  Y</t>
    </r>
    <r>
      <rPr>
        <sz val="10"/>
        <rFont val="Noto Sans CJK SC"/>
        <family val="2"/>
      </rPr>
      <t>축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역별 평균 거래금액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</si>
  <si>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두 지표 각각의 중앙값</t>
    </r>
    <r>
      <rPr>
        <sz val="10"/>
        <rFont val="Arial"/>
        <family val="2"/>
      </rPr>
      <t>(median)</t>
    </r>
    <r>
      <rPr>
        <sz val="10"/>
        <rFont val="Noto Sans CJK SC"/>
        <family val="2"/>
      </rPr>
      <t xml:space="preserve">을 기준선으로 </t>
    </r>
    <r>
      <rPr>
        <sz val="10"/>
        <rFont val="Arial"/>
        <family val="2"/>
      </rPr>
      <t>33</t>
    </r>
    <r>
      <rPr>
        <sz val="10"/>
        <rFont val="Noto Sans CJK SC"/>
        <family val="2"/>
      </rPr>
      <t xml:space="preserve">개 역을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개 그룹으로 나눈다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</si>
  <si>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평균이 아닌 중앙값을 쓰는 이유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강남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잠실 같은 극단값이 기준선을 끌어올리는 것을 막기 위해서다</t>
    </r>
    <r>
      <rPr>
        <sz val="10"/>
        <rFont val="Arial"/>
        <family val="2"/>
      </rPr>
      <t>.</t>
    </r>
  </si>
  <si>
    <r>
      <rPr>
        <b/>
        <sz val="11"/>
        <color rgb="FF1F3864"/>
        <rFont val="Arial"/>
        <family val="2"/>
      </rPr>
      <t xml:space="preserve">7.2  </t>
    </r>
    <r>
      <rPr>
        <b/>
        <sz val="11"/>
        <color rgb="FF1F3864"/>
        <rFont val="Noto Sans CJK SC"/>
        <family val="2"/>
      </rPr>
      <t>유형별 분류 결과</t>
    </r>
  </si>
  <si>
    <t>유형</t>
  </si>
  <si>
    <t>기준</t>
  </si>
  <si>
    <t>명칭</t>
  </si>
  <si>
    <t>해당 역</t>
  </si>
  <si>
    <t>역 수</t>
  </si>
  <si>
    <t>①</t>
  </si>
  <si>
    <t>이용량 ↑ / 가격 ↑</t>
  </si>
  <si>
    <t>교통허브 · 고가</t>
  </si>
  <si>
    <t>잠실, 강남, 삼성, 성수, 사당, 합정, 교대, 구의</t>
  </si>
  <si>
    <t>업무·상업 기능과 고가 주거가 함께 있는 역. 통념에 가장 잘 맞는 그룹.</t>
  </si>
  <si>
    <t>②</t>
  </si>
  <si>
    <t>이용량 ↑ / 가격 ↓</t>
  </si>
  <si>
    <t>교통허브 · 중저가</t>
  </si>
  <si>
    <t>구로디지털단지, 신림, 신도림, 건대입구, 시청, 신대방, 대림, 봉천</t>
  </si>
  <si>
    <t>통근·환승 통과 수요는 많지만 주거 가격은 상대적으로 낮은 역. 이용량만으로 가격을 설명할 수 없음을 보여주는 핵심 그룹.</t>
  </si>
  <si>
    <t>③</t>
  </si>
  <si>
    <t>이용량 ↓ / 가격 ↑</t>
  </si>
  <si>
    <t>주거중심 · 고가</t>
  </si>
  <si>
    <t>방배, 잠실나루, 아현, 영등포구청, 왕십리, 상왕십리, (외 3개 역)</t>
  </si>
  <si>
    <t>이용량은 중간 이하지만 가격은 높은 역. 정주 여건·학군·재개발 등 교통 외 요인이 작용하는 것으로 보임.</t>
  </si>
  <si>
    <t>④</t>
  </si>
  <si>
    <t>이용량 ↓ / 가격 ↓</t>
  </si>
  <si>
    <t>주거중심 · 중저가</t>
  </si>
  <si>
    <t>문래, 당산, 이대, 한양대, 충정로, 신설동, 용답, 용두</t>
  </si>
  <si>
    <t>이용량과 가격이 모두 하위권인 역. 지선 구간과 소규모 역이 다수 포함.</t>
  </si>
  <si>
    <t>합계</t>
  </si>
  <si>
    <r>
      <rPr>
        <b/>
        <sz val="11"/>
        <color rgb="FF1F3864"/>
        <rFont val="Arial"/>
        <family val="2"/>
      </rPr>
      <t>7.3  4</t>
    </r>
    <r>
      <rPr>
        <b/>
        <sz val="11"/>
        <color rgb="FF1F3864"/>
        <rFont val="Noto Sans CJK SC"/>
        <family val="2"/>
      </rPr>
      <t>분면 배치</t>
    </r>
  </si>
  <si>
    <t xml:space="preserve">                          가격 ↑</t>
  </si>
  <si>
    <t xml:space="preserve">                            │</t>
  </si>
  <si>
    <t xml:space="preserve">     ③ 주거중심·고가         │        ① 교통허브·고가</t>
  </si>
  <si>
    <t xml:space="preserve">     방배 · 잠실나루 · 아현   │        잠실 · 강남 · 삼성 · 성수</t>
  </si>
  <si>
    <t xml:space="preserve">     영등포구청 · 왕십리      │        사당 · 합정 · 교대 · 구의</t>
  </si>
  <si>
    <t xml:space="preserve">  ──────────────────────────┼──────────────────────────  이용량 →</t>
  </si>
  <si>
    <t xml:space="preserve">     ④ 주거중심·중저가       │        ② 교통허브·중저가</t>
  </si>
  <si>
    <t xml:space="preserve">     문래 · 당산 · 이대       │        구로디지털단지 · 신림 · 신도림</t>
  </si>
  <si>
    <t xml:space="preserve">     한양대 · 충정로 · 신설동  │        건대입구 · 시청 · 신대방 · 대림</t>
  </si>
  <si>
    <t xml:space="preserve">                          가격 ↓</t>
  </si>
  <si>
    <r>
      <rPr>
        <b/>
        <sz val="11"/>
        <color rgb="FF1F3864"/>
        <rFont val="Arial"/>
        <family val="2"/>
      </rPr>
      <t xml:space="preserve">7.4  </t>
    </r>
    <r>
      <rPr>
        <b/>
        <sz val="11"/>
        <color rgb="FF1F3864"/>
        <rFont val="Noto Sans CJK SC"/>
        <family val="2"/>
      </rPr>
      <t>해석 시 주의점</t>
    </r>
  </si>
  <si>
    <r>
      <rPr>
        <sz val="10"/>
        <rFont val="Arial"/>
        <family val="2"/>
      </rPr>
      <t>· 4</t>
    </r>
    <r>
      <rPr>
        <sz val="10"/>
        <rFont val="Noto Sans CJK SC"/>
        <family val="2"/>
      </rPr>
      <t xml:space="preserve">분면은 중앙값 기준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상대적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분류다</t>
    </r>
    <r>
      <rPr>
        <sz val="10"/>
        <rFont val="Arial"/>
        <family val="2"/>
      </rPr>
      <t>. ②</t>
    </r>
    <r>
      <rPr>
        <sz val="10"/>
        <rFont val="Noto Sans CJK SC"/>
        <family val="2"/>
      </rPr>
      <t xml:space="preserve">에 속한 역이 절대적으로 싸다는 뜻이 아니라 </t>
    </r>
    <r>
      <rPr>
        <sz val="10"/>
        <rFont val="Arial"/>
        <family val="2"/>
      </rPr>
      <t>33</t>
    </r>
    <r>
      <rPr>
        <sz val="10"/>
        <rFont val="Noto Sans CJK SC"/>
        <family val="2"/>
      </rPr>
      <t>개 역 중 하위 절반이라는 뜻이다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</si>
  <si>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연도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주택유형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거래유형 필터를 바꾸면 분류가 달라진다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대시보드에는 어떤 조건의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분면인지 항상 표기할 것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</si>
  <si>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시청역이 ②에 들어간 것은 업무지구라 주거 거래 자체가 적기 때문일 수 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거래 건수를 함께 확인하고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표본이 적으면 별도 표기할 것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</si>
  <si>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· ②</t>
    </r>
    <r>
      <rPr>
        <sz val="10"/>
        <rFont val="Noto Sans CJK SC"/>
        <family val="2"/>
      </rPr>
      <t>그룹의 존재가 이 프로젝트의 핵심 근거다</t>
    </r>
    <r>
      <rPr>
        <sz val="10"/>
        <rFont val="Arial"/>
        <family val="2"/>
      </rPr>
      <t>. '</t>
    </r>
    <r>
      <rPr>
        <sz val="10"/>
        <rFont val="Noto Sans CJK SC"/>
        <family val="2"/>
      </rPr>
      <t>이용량이 높으면 가격도 높다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항상 성립하지는 않는다는 것을 보여준다</t>
    </r>
    <r>
      <rPr>
        <sz val="10"/>
        <rFont val="Arial"/>
        <family val="2"/>
      </rPr>
      <t>.</t>
    </r>
  </si>
  <si>
    <r>
      <rPr>
        <b/>
        <sz val="14"/>
        <color rgb="FFFFFFFF"/>
        <rFont val="Arial"/>
        <family val="2"/>
      </rPr>
      <t xml:space="preserve">8. Power BI </t>
    </r>
    <r>
      <rPr>
        <b/>
        <sz val="14"/>
        <color rgb="FFFFFFFF"/>
        <rFont val="Noto Sans CJK SC"/>
        <family val="2"/>
      </rPr>
      <t>설계 및 페이지 구성</t>
    </r>
  </si>
  <si>
    <t>Data Model · DAX · 4 Pages</t>
  </si>
  <si>
    <r>
      <rPr>
        <b/>
        <sz val="11"/>
        <color rgb="FF1F3864"/>
        <rFont val="Arial"/>
        <family val="2"/>
      </rPr>
      <t xml:space="preserve">8.1  </t>
    </r>
    <r>
      <rPr>
        <b/>
        <sz val="11"/>
        <color rgb="FF1F3864"/>
        <rFont val="Noto Sans CJK SC"/>
        <family val="2"/>
      </rPr>
      <t>데이터 모델</t>
    </r>
  </si>
  <si>
    <t>subway_annual  (year, station_name, total_ridership)</t>
  </si>
  <si>
    <t xml:space="preserve">        │</t>
  </si>
  <si>
    <t xml:space="preserve">        │  관계: year + station_name  (1:N, 단일 방향)</t>
  </si>
  <si>
    <t xml:space="preserve">        ↓</t>
  </si>
  <si>
    <t>real_estate    (year, station_name, housing_type, transaction_type, transaction_amount)</t>
  </si>
  <si>
    <r>
      <rPr>
        <b/>
        <sz val="9"/>
        <color rgb="FFC00000"/>
        <rFont val="Arial"/>
        <family val="2"/>
      </rPr>
      <t>Power BI</t>
    </r>
    <r>
      <rPr>
        <b/>
        <sz val="9"/>
        <color rgb="FFC00000"/>
        <rFont val="Noto Sans CJK SC"/>
        <family val="2"/>
      </rPr>
      <t>는 복합 키</t>
    </r>
    <r>
      <rPr>
        <b/>
        <sz val="9"/>
        <color rgb="FFC00000"/>
        <rFont val="Arial"/>
        <family val="2"/>
      </rPr>
      <t xml:space="preserve">(year + station_name) </t>
    </r>
    <r>
      <rPr>
        <b/>
        <sz val="9"/>
        <color rgb="FFC00000"/>
        <rFont val="Noto Sans CJK SC"/>
        <family val="2"/>
      </rPr>
      <t>관계를 직접 지원하지 않는다</t>
    </r>
    <r>
      <rPr>
        <b/>
        <sz val="9"/>
        <color rgb="FFC00000"/>
        <rFont val="Arial"/>
        <family val="2"/>
      </rPr>
      <t xml:space="preserve">. Python </t>
    </r>
    <r>
      <rPr>
        <b/>
        <sz val="9"/>
        <color rgb="FFC00000"/>
        <rFont val="Noto Sans CJK SC"/>
        <family val="2"/>
      </rPr>
      <t xml:space="preserve">또는 </t>
    </r>
    <r>
      <rPr>
        <b/>
        <sz val="9"/>
        <color rgb="FFC00000"/>
        <rFont val="Arial"/>
        <family val="2"/>
      </rPr>
      <t>Power Query</t>
    </r>
    <r>
      <rPr>
        <b/>
        <sz val="9"/>
        <color rgb="FFC00000"/>
        <rFont val="Noto Sans CJK SC"/>
        <family val="2"/>
      </rPr>
      <t xml:space="preserve">에서 </t>
    </r>
    <r>
      <rPr>
        <b/>
        <sz val="9"/>
        <color rgb="FFC00000"/>
        <rFont val="Arial"/>
        <family val="2"/>
      </rPr>
      <t xml:space="preserve">year &amp; '_' &amp; station_name </t>
    </r>
    <r>
      <rPr>
        <b/>
        <sz val="9"/>
        <color rgb="FFC00000"/>
        <rFont val="Noto Sans CJK SC"/>
        <family val="2"/>
      </rPr>
      <t>형태의 결합 키 컬럼을 만들어 그 컬럼으로 관계를 맺을 것</t>
    </r>
    <r>
      <rPr>
        <b/>
        <sz val="9"/>
        <color rgb="FFC00000"/>
        <rFont val="Arial"/>
        <family val="2"/>
      </rPr>
      <t>.</t>
    </r>
  </si>
  <si>
    <r>
      <rPr>
        <b/>
        <sz val="11"/>
        <color rgb="FF1F3864"/>
        <rFont val="Arial"/>
        <family val="2"/>
      </rPr>
      <t xml:space="preserve">8.2  </t>
    </r>
    <r>
      <rPr>
        <b/>
        <sz val="11"/>
        <color rgb="FF1F3864"/>
        <rFont val="Noto Sans CJK SC"/>
        <family val="2"/>
      </rPr>
      <t xml:space="preserve">주요 </t>
    </r>
    <r>
      <rPr>
        <b/>
        <sz val="11"/>
        <color rgb="FF1F3864"/>
        <rFont val="Arial"/>
        <family val="2"/>
      </rPr>
      <t xml:space="preserve">DAX </t>
    </r>
    <r>
      <rPr>
        <b/>
        <sz val="11"/>
        <color rgb="FF1F3864"/>
        <rFont val="Noto Sans CJK SC"/>
        <family val="2"/>
      </rPr>
      <t>측정값</t>
    </r>
  </si>
  <si>
    <t>측정값</t>
  </si>
  <si>
    <t>DAX</t>
  </si>
  <si>
    <t>M1</t>
  </si>
  <si>
    <t>총 이용량</t>
  </si>
  <si>
    <t>총 이용량 =
SUM(subway_annual[total_ridership])</t>
  </si>
  <si>
    <r>
      <rPr>
        <sz val="10"/>
        <rFont val="Arial"/>
        <family val="2"/>
      </rPr>
      <t xml:space="preserve">KPI </t>
    </r>
    <r>
      <rPr>
        <sz val="10"/>
        <rFont val="Noto Sans CJK SC"/>
        <family val="2"/>
      </rPr>
      <t>카드</t>
    </r>
  </si>
  <si>
    <t>M2</t>
  </si>
  <si>
    <t>평균 거래금액</t>
  </si>
  <si>
    <t>평균 거래금액 =
AVERAGE(real_estate[transaction_amount])</t>
  </si>
  <si>
    <t>M3</t>
  </si>
  <si>
    <t>역 개수</t>
  </si>
  <si>
    <t>역 개수 =
DISTINCTCOUNT(subway_annual[station_name])</t>
  </si>
  <si>
    <t>M4</t>
  </si>
  <si>
    <t>거래 건수</t>
  </si>
  <si>
    <t>거래 건수 =
COUNTROWS(real_estate)</t>
  </si>
  <si>
    <t>표본 확인</t>
  </si>
  <si>
    <t>M5</t>
  </si>
  <si>
    <t>전년 총 이용량</t>
  </si>
  <si>
    <t>전년 총 이용량 =
CALCULATE([총 이용량],
    FILTER(ALL(subway_annual[year]),
        subway_annual[year] = MAX(subway_annual[year]) - 1))</t>
  </si>
  <si>
    <t>증감률 계산용</t>
  </si>
  <si>
    <t>M6</t>
  </si>
  <si>
    <t>이용량 증감률 =
DIVIDE([총 이용량] - [전년 총 이용량], [전년 총 이용량])</t>
  </si>
  <si>
    <t>변화 분석</t>
  </si>
  <si>
    <t>M7</t>
  </si>
  <si>
    <t>전년 평균 거래금액</t>
  </si>
  <si>
    <t>전년 평균 거래금액 =
CALCULATE([평균 거래금액],
    FILTER(ALL(real_estate[year]),
        real_estate[year] = MAX(real_estate[year]) - 1))</t>
  </si>
  <si>
    <t>M8</t>
  </si>
  <si>
    <t>가격 증감률 =
DIVIDE([평균 거래금액] - [전년 평균 거래금액], [전년 평균 거래금액])</t>
  </si>
  <si>
    <t>M9</t>
  </si>
  <si>
    <t>이용량 중앙값</t>
  </si>
  <si>
    <t>이용량 중앙값 =
MEDIANX(ALLSELECTED(subway_annual[station_name]), [총 이용량])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</si>
  <si>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분면 기준선</t>
    </r>
  </si>
  <si>
    <t>M10</t>
  </si>
  <si>
    <t>가격 중앙값</t>
  </si>
  <si>
    <t>가격 중앙값 =
MEDIANX(ALLSELECTED(real_estate[station_name]), [평균 거래금액])</t>
  </si>
  <si>
    <t>M11</t>
  </si>
  <si>
    <t>역 유형</t>
  </si>
  <si>
    <t>역 유형 =
VAR r = [총 이용량] VAR p = [평균 거래금액]
RETURN SWITCH(TRUE(),
  r &gt;= [이용량 중앙값] &amp;&amp; p &gt;= [가격 중앙값], "① 교통허브·고가",
  r &gt;= [이용량 중앙값], "② 교통허브·중저가",
  p &gt;= [가격 중앙값], "③ 주거중심·고가",
  "④ 주거중심·중저가")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</si>
  <si>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분면 분류</t>
    </r>
  </si>
  <si>
    <r>
      <rPr>
        <sz val="9"/>
        <color rgb="FF595959"/>
        <rFont val="Arial"/>
        <family val="2"/>
      </rPr>
      <t>※ year</t>
    </r>
    <r>
      <rPr>
        <sz val="9"/>
        <color rgb="FF595959"/>
        <rFont val="Noto Sans CJK SC"/>
        <family val="2"/>
      </rPr>
      <t xml:space="preserve">를 정수 컬럼으로 쓰면 </t>
    </r>
    <r>
      <rPr>
        <sz val="9"/>
        <color rgb="FF595959"/>
        <rFont val="Arial"/>
        <family val="2"/>
      </rPr>
      <t>PREVIOUSYEAR</t>
    </r>
    <r>
      <rPr>
        <sz val="9"/>
        <color rgb="FF595959"/>
        <rFont val="Noto Sans CJK SC"/>
        <family val="2"/>
      </rPr>
      <t>는 동작하지 않는다</t>
    </r>
    <r>
      <rPr>
        <sz val="9"/>
        <color rgb="FF595959"/>
        <rFont val="Arial"/>
        <family val="2"/>
      </rPr>
      <t xml:space="preserve">. </t>
    </r>
    <r>
      <rPr>
        <sz val="9"/>
        <color rgb="FF595959"/>
        <rFont val="Noto Sans CJK SC"/>
        <family val="2"/>
      </rPr>
      <t xml:space="preserve">위처럼 </t>
    </r>
    <r>
      <rPr>
        <sz val="9"/>
        <color rgb="FF595959"/>
        <rFont val="Arial"/>
        <family val="2"/>
      </rPr>
      <t xml:space="preserve">FILTER + ALL </t>
    </r>
    <r>
      <rPr>
        <sz val="9"/>
        <color rgb="FF595959"/>
        <rFont val="Noto Sans CJK SC"/>
        <family val="2"/>
      </rPr>
      <t>방식으로 작성할 것</t>
    </r>
    <r>
      <rPr>
        <sz val="9"/>
        <color rgb="FF595959"/>
        <rFont val="Arial"/>
        <family val="2"/>
      </rPr>
      <t>.</t>
    </r>
  </si>
  <si>
    <r>
      <rPr>
        <b/>
        <sz val="11"/>
        <color rgb="FF1F3864"/>
        <rFont val="Arial"/>
        <family val="2"/>
      </rPr>
      <t xml:space="preserve">Page 1. Overview — </t>
    </r>
    <r>
      <rPr>
        <b/>
        <sz val="11"/>
        <color rgb="FF1F3864"/>
        <rFont val="Noto Sans CJK SC"/>
        <family val="2"/>
      </rPr>
      <t>전체 현황</t>
    </r>
  </si>
  <si>
    <t>목적: 2호선 전체의 이용량과 부동산 가격 현황을 한눈에 확인한다.</t>
  </si>
  <si>
    <t>표시 내용</t>
  </si>
  <si>
    <t>사용 측정값</t>
  </si>
  <si>
    <r>
      <rPr>
        <b/>
        <sz val="10"/>
        <rFont val="Arial"/>
        <family val="2"/>
      </rPr>
      <t xml:space="preserve">KPI </t>
    </r>
    <r>
      <rPr>
        <b/>
        <sz val="10"/>
        <rFont val="Noto Sans CJK SC"/>
        <family val="2"/>
      </rPr>
      <t>카드</t>
    </r>
  </si>
  <si>
    <t>대상 역 · 거래 건수 · 평균 가격 · 이용량 1위 역 · 가격 1위 역</t>
  </si>
  <si>
    <t>M1~M4</t>
  </si>
  <si>
    <t>상관분석 패널</t>
  </si>
  <si>
    <t>상관계수 · 표본 수(n=33) · 임계값(0.344) · 유의/미달 판정</t>
  </si>
  <si>
    <r>
      <rPr>
        <sz val="10"/>
        <rFont val="Arial"/>
        <family val="2"/>
      </rPr>
      <t xml:space="preserve">Python </t>
    </r>
    <r>
      <rPr>
        <sz val="10"/>
        <rFont val="Noto Sans CJK SC"/>
        <family val="2"/>
      </rPr>
      <t>산출값</t>
    </r>
  </si>
  <si>
    <t>역 유형 4분면</t>
  </si>
  <si>
    <t>교통허브·고가 / 교통허브·중저가 / 주거중심·고가 / 주거중심·중저가</t>
  </si>
  <si>
    <t>M9~M11</t>
  </si>
  <si>
    <t>이용량 변화율 · 가격 변화율 · 변화율 상관 · 비교 역</t>
  </si>
  <si>
    <t>M6, M8</t>
  </si>
  <si>
    <t>슬라이서</t>
  </si>
  <si>
    <t>연도 · 주택유형 · 거래유형</t>
  </si>
  <si>
    <t>-</t>
  </si>
  <si>
    <t>Page 2. Housing &amp; Transaction Analysis</t>
  </si>
  <si>
    <t>목적: 주택 유형과 거래 유형에 따라 관계가 어떻게 달라지는지 분석한다.</t>
  </si>
  <si>
    <t>묶은 막대차트</t>
  </si>
  <si>
    <t>주택 유형별 평균 거래금액</t>
  </si>
  <si>
    <t>거래 유형별 평균 거래금액</t>
  </si>
  <si>
    <t>가로 막대차트</t>
  </si>
  <si>
    <t>주택 유형별 상관계수 (임계선 0.344 표시)</t>
  </si>
  <si>
    <t>거래 유형별 상관계수 (임계선 0.344 표시)</t>
  </si>
  <si>
    <t>선차트</t>
  </si>
  <si>
    <t>연도별 상관계수 추이</t>
  </si>
  <si>
    <t>연도 · 주택유형 · 거래유형 · 역명</t>
  </si>
  <si>
    <t>Page 3. Station Quadrant Analysis</t>
  </si>
  <si>
    <t>목적: 이용량과 가격을 기준으로 33개 역을 4개 유형으로 분류한다.</t>
  </si>
  <si>
    <r>
      <rPr>
        <b/>
        <sz val="10"/>
        <rFont val="Arial"/>
        <family val="2"/>
      </rPr>
      <t>4</t>
    </r>
    <r>
      <rPr>
        <b/>
        <sz val="10"/>
        <rFont val="Noto Sans CJK SC"/>
        <family val="2"/>
      </rPr>
      <t>분면 산점도</t>
    </r>
  </si>
  <si>
    <r>
      <rPr>
        <sz val="10"/>
        <rFont val="Arial"/>
        <family val="2"/>
      </rPr>
      <t>X=</t>
    </r>
    <r>
      <rPr>
        <sz val="10"/>
        <rFont val="Noto Sans CJK SC"/>
        <family val="2"/>
      </rPr>
      <t>지하철 이용량</t>
    </r>
    <r>
      <rPr>
        <sz val="10"/>
        <rFont val="Arial"/>
        <family val="2"/>
      </rPr>
      <t>, Y=</t>
    </r>
    <r>
      <rPr>
        <sz val="10"/>
        <rFont val="Noto Sans CJK SC"/>
        <family val="2"/>
      </rPr>
      <t>평균 거래금액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역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역명 레이블 표시</t>
    </r>
  </si>
  <si>
    <t>M1, M2</t>
  </si>
  <si>
    <t>기준선</t>
  </si>
  <si>
    <t>중앙값 기준 가로·세로 상수선 2개</t>
  </si>
  <si>
    <t>M9, M10</t>
  </si>
  <si>
    <t>표</t>
  </si>
  <si>
    <t>유형별 역 목록 및 역 수</t>
  </si>
  <si>
    <t>Page 4. Insight &amp; Action</t>
  </si>
  <si>
    <t>목적: 분석 결과의 주요 특징과 의미를 정리한다.</t>
  </si>
  <si>
    <t>텍스트 상자 3개</t>
  </si>
  <si>
    <t>핵심 Insight ① ② ③</t>
  </si>
  <si>
    <t>발견 → 해석 → 활용 방안</t>
  </si>
  <si>
    <t>카드</t>
  </si>
  <si>
    <t>전체 상관계수 및 유의성 판정</t>
  </si>
  <si>
    <t>분석의 한계 (면적 미보정 · 좌표 미사용 · 표본 편차)</t>
  </si>
  <si>
    <r>
      <rPr>
        <b/>
        <sz val="11"/>
        <color rgb="FF1F3864"/>
        <rFont val="Arial"/>
        <family val="2"/>
      </rPr>
      <t xml:space="preserve">8.3  </t>
    </r>
    <r>
      <rPr>
        <b/>
        <sz val="11"/>
        <color rgb="FF1F3864"/>
        <rFont val="Noto Sans CJK SC"/>
        <family val="2"/>
      </rPr>
      <t xml:space="preserve">핵심 </t>
    </r>
    <r>
      <rPr>
        <b/>
        <sz val="11"/>
        <color rgb="FF1F3864"/>
        <rFont val="Arial"/>
        <family val="2"/>
      </rPr>
      <t>Insight</t>
    </r>
  </si>
  <si>
    <t>발견한 사실</t>
  </si>
  <si>
    <t>해석 / 원인</t>
  </si>
  <si>
    <t>활용 방안</t>
  </si>
  <si>
    <t>Insight 1</t>
  </si>
  <si>
    <t>지하철 이용량과 부동산 가격은 전반적으로 양의 상관을 보이지만, 대부분의 조합에서 계수가 0.1~0.3 수준에 머문다 (n=33 유의 임계값 0.344 미달).</t>
  </si>
  <si>
    <t>교통 접근성은 가격을 설명하는 여러 요인 중 하나일 뿐이며, 단독 설명력은 약하다.</t>
  </si>
  <si>
    <t>역세권 가치 판단 시 이용량을 단독 지표가 아닌 보조 지표로 사용한다.</t>
  </si>
  <si>
    <t>Insight 2</t>
  </si>
  <si>
    <t>주택유형별로는 단독다가구(0.377)와 아파트(0.280)가 상대적으로 높고, 오피스텔(0.090)은 거의 무관계이며 매매는 전 기간 음의 상관을 보인다.</t>
  </si>
  <si>
    <t>오피스텔은 업무지구에 집중되고 면적이 작아 평균 거래금액이 낮게 잡힌다. 이용량이 높은 역일수록 오피스텔 평균가가 오히려 낮아지는 구조.</t>
  </si>
  <si>
    <t>주택유형을 섞어 하나의 결론을 내지 않고, 유형별로 나눠 해석한다.</t>
  </si>
  <si>
    <t>Insight 3</t>
  </si>
  <si>
    <t>이용량과 가격이 모두 높은 역(잠실·강남·삼성)과, 이용량은 높지만 가격은 낮은 역(구로디지털단지·신림·신도림)이 뚜렷하게 구분된다.</t>
  </si>
  <si>
    <t>후자는 통근·환승 통과 수요가 많은 이동 거점으로, 거주 선호와는 별개로 움직인다.</t>
  </si>
  <si>
    <r>
      <rPr>
        <sz val="10"/>
        <color rgb="FF000000"/>
        <rFont val="Arial"/>
        <family val="2"/>
      </rPr>
      <t>'</t>
    </r>
    <r>
      <rPr>
        <sz val="10"/>
        <color rgb="FF000000"/>
        <rFont val="Noto Sans CJK SC"/>
        <family val="2"/>
      </rPr>
      <t>교통허브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중저가</t>
    </r>
    <r>
      <rPr>
        <sz val="10"/>
        <color rgb="FF000000"/>
        <rFont val="Arial"/>
        <family val="2"/>
      </rPr>
      <t xml:space="preserve">' </t>
    </r>
    <r>
      <rPr>
        <sz val="10"/>
        <color rgb="FF000000"/>
        <rFont val="Noto Sans CJK SC"/>
        <family val="2"/>
      </rPr>
      <t>유형을 별도 분류해 제시하고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이용량만으로 가격을 설명할 수 없다는 근거로 삼는다</t>
    </r>
    <r>
      <rPr>
        <sz val="10"/>
        <color rgb="FF000000"/>
        <rFont val="Arial"/>
        <family val="2"/>
      </rPr>
      <t>.</t>
    </r>
  </si>
  <si>
    <r>
      <rPr>
        <b/>
        <sz val="9"/>
        <color rgb="FFC00000"/>
        <rFont val="Arial"/>
        <family val="2"/>
      </rPr>
      <t xml:space="preserve">※ Insight </t>
    </r>
    <r>
      <rPr>
        <b/>
        <sz val="9"/>
        <color rgb="FFC00000"/>
        <rFont val="Noto Sans CJK SC"/>
        <family val="2"/>
      </rPr>
      <t>문장에 상관계수를 쓸 때는 반드시 표본 수</t>
    </r>
    <r>
      <rPr>
        <b/>
        <sz val="9"/>
        <color rgb="FFC00000"/>
        <rFont val="Arial"/>
        <family val="2"/>
      </rPr>
      <t>(n=33)</t>
    </r>
    <r>
      <rPr>
        <b/>
        <sz val="9"/>
        <color rgb="FFC00000"/>
        <rFont val="Noto Sans CJK SC"/>
        <family val="2"/>
      </rPr>
      <t>와 유의 여부를 함께 적을 것</t>
    </r>
    <r>
      <rPr>
        <b/>
        <sz val="9"/>
        <color rgb="FFC00000"/>
        <rFont val="Arial"/>
        <family val="2"/>
      </rPr>
      <t xml:space="preserve">. </t>
    </r>
    <r>
      <rPr>
        <b/>
        <sz val="9"/>
        <color rgb="FFC00000"/>
        <rFont val="Noto Sans CJK SC"/>
        <family val="2"/>
      </rPr>
      <t>계수만 제시하면 관계가 실제보다 강해 보인다</t>
    </r>
    <r>
      <rPr>
        <b/>
        <sz val="9"/>
        <color rgb="FFC00000"/>
        <rFont val="Arial"/>
        <family val="2"/>
      </rPr>
      <t>.</t>
    </r>
  </si>
  <si>
    <r>
      <rPr>
        <b/>
        <sz val="14"/>
        <color rgb="FFFFFFFF"/>
        <rFont val="Arial"/>
        <family val="2"/>
      </rPr>
      <t xml:space="preserve">9. </t>
    </r>
    <r>
      <rPr>
        <b/>
        <sz val="14"/>
        <color rgb="FFFFFFFF"/>
        <rFont val="Noto Sans CJK SC"/>
        <family val="2"/>
      </rPr>
      <t xml:space="preserve">팀원 </t>
    </r>
    <r>
      <rPr>
        <b/>
        <sz val="14"/>
        <color rgb="FFFFFFFF"/>
        <rFont val="Arial"/>
        <family val="2"/>
      </rPr>
      <t>R&amp;R</t>
    </r>
  </si>
  <si>
    <r>
      <rPr>
        <i/>
        <sz val="9"/>
        <color rgb="FF595959"/>
        <rFont val="Arial"/>
        <family val="2"/>
      </rPr>
      <t>Role &amp; Responsibility — 4</t>
    </r>
    <r>
      <rPr>
        <i/>
        <sz val="9"/>
        <color rgb="FF595959"/>
        <rFont val="Noto Sans CJK SC"/>
        <family val="2"/>
      </rPr>
      <t>명 기준</t>
    </r>
  </si>
  <si>
    <t>원본 템플릿은 3명 기준(역할 3개)이었으나 팀원이 4명이므로 역할을 4개로 재구성했다.</t>
  </si>
  <si>
    <t>담당자</t>
  </si>
  <si>
    <t>주요 업무</t>
  </si>
  <si>
    <t>협업 구간</t>
  </si>
  <si>
    <t>Data Engineer
(Python)</t>
  </si>
  <si>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서울 열린데이터광장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 xml:space="preserve">국토교통부 </t>
    </r>
    <r>
      <rPr>
        <sz val="10"/>
        <color rgb="FF000000"/>
        <rFont val="Arial"/>
        <family val="2"/>
      </rPr>
      <t xml:space="preserve">CSV </t>
    </r>
    <r>
      <rPr>
        <sz val="10"/>
        <color rgb="FF000000"/>
        <rFont val="Noto Sans CJK SC"/>
        <family val="2"/>
      </rPr>
      <t xml:space="preserve">수집
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연도별 파일 통합 및 </t>
    </r>
    <r>
      <rPr>
        <sz val="10"/>
        <color rgb="FF000000"/>
        <rFont val="Arial"/>
        <family val="2"/>
      </rPr>
      <t>2</t>
    </r>
    <r>
      <rPr>
        <sz val="10"/>
        <color rgb="FF000000"/>
        <rFont val="Noto Sans CJK SC"/>
        <family val="2"/>
      </rPr>
      <t xml:space="preserve">호선 필터링
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역명 통일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주택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거래유형 정리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 xml:space="preserve">타입 변환
</t>
    </r>
    <r>
      <rPr>
        <sz val="10"/>
        <color rgb="FF000000"/>
        <rFont val="Arial"/>
        <family val="2"/>
      </rPr>
      <t xml:space="preserve">· total_ridership </t>
    </r>
    <r>
      <rPr>
        <sz val="10"/>
        <color rgb="FF000000"/>
        <rFont val="Noto Sans CJK SC"/>
        <family val="2"/>
      </rPr>
      <t>생성 및 연도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 xml:space="preserve">역별 집계
</t>
    </r>
    <r>
      <rPr>
        <sz val="10"/>
        <color rgb="FF000000"/>
        <rFont val="Arial"/>
        <family val="2"/>
      </rPr>
      <t xml:space="preserve">· MySQL </t>
    </r>
    <r>
      <rPr>
        <sz val="10"/>
        <color rgb="FF000000"/>
        <rFont val="Noto Sans CJK SC"/>
        <family val="2"/>
      </rPr>
      <t>적재</t>
    </r>
  </si>
  <si>
    <r>
      <rPr>
        <sz val="10"/>
        <color rgb="FF000000"/>
        <rFont val="Arial"/>
        <family val="2"/>
      </rPr>
      <t xml:space="preserve">DB </t>
    </r>
    <r>
      <rPr>
        <sz val="10"/>
        <color rgb="FF000000"/>
        <rFont val="Noto Sans CJK SC"/>
        <family val="2"/>
      </rPr>
      <t xml:space="preserve">적재 시 </t>
    </r>
    <r>
      <rPr>
        <sz val="10"/>
        <color rgb="FF000000"/>
        <rFont val="Arial"/>
        <family val="2"/>
      </rPr>
      <t>Data Analyst</t>
    </r>
  </si>
  <si>
    <t>Data Analyst
(SQL)</t>
  </si>
  <si>
    <r>
      <rPr>
        <sz val="10"/>
        <color rgb="FF000000"/>
        <rFont val="Arial"/>
        <family val="2"/>
      </rPr>
      <t xml:space="preserve">· subway / real_estate / subway_annual </t>
    </r>
    <r>
      <rPr>
        <sz val="10"/>
        <color rgb="FF000000"/>
        <rFont val="Noto Sans CJK SC"/>
        <family val="2"/>
      </rPr>
      <t xml:space="preserve">테이블 설계
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복합 인덱스 </t>
    </r>
    <r>
      <rPr>
        <sz val="10"/>
        <color rgb="FF000000"/>
        <rFont val="Arial"/>
        <family val="2"/>
      </rPr>
      <t xml:space="preserve">(year, station_name) </t>
    </r>
    <r>
      <rPr>
        <sz val="10"/>
        <color rgb="FF000000"/>
        <rFont val="Noto Sans CJK SC"/>
        <family val="2"/>
      </rPr>
      <t xml:space="preserve">설정
</t>
    </r>
    <r>
      <rPr>
        <sz val="10"/>
        <color rgb="FF000000"/>
        <rFont val="Arial"/>
        <family val="2"/>
      </rPr>
      <t xml:space="preserve">· JOIN · GROUP BY </t>
    </r>
    <r>
      <rPr>
        <sz val="10"/>
        <color rgb="FF000000"/>
        <rFont val="Noto Sans CJK SC"/>
        <family val="2"/>
      </rPr>
      <t xml:space="preserve">평균 거래금액 집계
</t>
    </r>
    <r>
      <rPr>
        <sz val="10"/>
        <color rgb="FF000000"/>
        <rFont val="Arial"/>
        <family val="2"/>
      </rPr>
      <t>· Power BI</t>
    </r>
    <r>
      <rPr>
        <sz val="10"/>
        <color rgb="FF000000"/>
        <rFont val="Noto Sans CJK SC"/>
        <family val="2"/>
      </rPr>
      <t>용 분석 데이터 제공</t>
    </r>
  </si>
  <si>
    <t>적재 시 Data Engineer
연결 시 BI Developer</t>
  </si>
  <si>
    <t>BI Developer
(Power BI)</t>
  </si>
  <si>
    <r>
      <rPr>
        <sz val="10"/>
        <color rgb="FF000000"/>
        <rFont val="Arial"/>
        <family val="2"/>
      </rPr>
      <t xml:space="preserve">· MySQL </t>
    </r>
    <r>
      <rPr>
        <sz val="10"/>
        <color rgb="FF000000"/>
        <rFont val="Noto Sans CJK SC"/>
        <family val="2"/>
      </rPr>
      <t xml:space="preserve">연결 및 데이터 모델링
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결합 키 생성 및 관계 설정
</t>
    </r>
    <r>
      <rPr>
        <sz val="10"/>
        <color rgb="FF000000"/>
        <rFont val="Arial"/>
        <family val="2"/>
      </rPr>
      <t xml:space="preserve">· M1~M11 DAX Measure </t>
    </r>
    <r>
      <rPr>
        <sz val="10"/>
        <color rgb="FF000000"/>
        <rFont val="Noto Sans CJK SC"/>
        <family val="2"/>
      </rPr>
      <t xml:space="preserve">작성
</t>
    </r>
    <r>
      <rPr>
        <sz val="10"/>
        <color rgb="FF000000"/>
        <rFont val="Arial"/>
        <family val="2"/>
      </rPr>
      <t>· 4</t>
    </r>
    <r>
      <rPr>
        <sz val="10"/>
        <color rgb="FF000000"/>
        <rFont val="Noto Sans CJK SC"/>
        <family val="2"/>
      </rPr>
      <t xml:space="preserve">개 페이지 시각화 및 </t>
    </r>
    <r>
      <rPr>
        <sz val="10"/>
        <color rgb="FF000000"/>
        <rFont val="Arial"/>
        <family val="2"/>
      </rPr>
      <t>4</t>
    </r>
    <r>
      <rPr>
        <sz val="10"/>
        <color rgb="FF000000"/>
        <rFont val="Noto Sans CJK SC"/>
        <family val="2"/>
      </rPr>
      <t xml:space="preserve">분면 차트 구성
</t>
    </r>
    <r>
      <rPr>
        <sz val="10"/>
        <color rgb="FF000000"/>
        <rFont val="Arial"/>
        <family val="2"/>
      </rPr>
      <t xml:space="preserve">· Dashboard </t>
    </r>
    <r>
      <rPr>
        <sz val="10"/>
        <color rgb="FF000000"/>
        <rFont val="Noto Sans CJK SC"/>
        <family val="2"/>
      </rPr>
      <t>디자인</t>
    </r>
  </si>
  <si>
    <t>모델 설계 시 Data Analyst</t>
  </si>
  <si>
    <r>
      <rPr>
        <b/>
        <sz val="10"/>
        <color rgb="FF000000"/>
        <rFont val="Arial"/>
        <family val="2"/>
      </rPr>
      <t>Analyst &amp; PM
(</t>
    </r>
    <r>
      <rPr>
        <b/>
        <sz val="10"/>
        <color rgb="FF000000"/>
        <rFont val="Noto Sans CJK SC"/>
        <family val="2"/>
      </rPr>
      <t>통계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Noto Sans CJK SC"/>
        <family val="2"/>
      </rPr>
      <t>문서</t>
    </r>
    <r>
      <rPr>
        <b/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</si>
  <si>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· 48</t>
    </r>
    <r>
      <rPr>
        <sz val="10"/>
        <color rgb="FF000000"/>
        <rFont val="Noto Sans CJK SC"/>
        <family val="2"/>
      </rPr>
      <t xml:space="preserve">개 조합 상관분석 자동화 </t>
    </r>
    <r>
      <rPr>
        <sz val="10"/>
        <color rgb="FF000000"/>
        <rFont val="Arial"/>
        <family val="2"/>
      </rPr>
      <t>(Python)
· 4</t>
    </r>
    <r>
      <rPr>
        <sz val="10"/>
        <color rgb="FF000000"/>
        <rFont val="Noto Sans CJK SC"/>
        <family val="2"/>
      </rPr>
      <t xml:space="preserve">분면 분류 및 유의성 검정
</t>
    </r>
    <r>
      <rPr>
        <sz val="10"/>
        <color rgb="FF000000"/>
        <rFont val="Arial"/>
        <family val="2"/>
      </rPr>
      <t xml:space="preserve">· WBS </t>
    </r>
    <r>
      <rPr>
        <sz val="10"/>
        <color rgb="FF000000"/>
        <rFont val="Noto Sans CJK SC"/>
        <family val="2"/>
      </rPr>
      <t xml:space="preserve">관리 및 진행 점검
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최종 보고서 작성
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발표자료 제작 및 발표</t>
    </r>
  </si>
  <si>
    <r>
      <rPr>
        <sz val="10"/>
        <color rgb="FF000000"/>
        <rFont val="Arial"/>
        <family val="2"/>
      </rPr>
      <t xml:space="preserve">Insight </t>
    </r>
    <r>
      <rPr>
        <sz val="10"/>
        <color rgb="FF000000"/>
        <rFont val="Noto Sans CJK SC"/>
        <family val="2"/>
      </rPr>
      <t>도출 시 전원</t>
    </r>
  </si>
  <si>
    <t>담당자 칸은 드롭다운입니다. 실제 역할과 다르면 수정하세요.</t>
  </si>
  <si>
    <t>전원 공동 업무</t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</si>
  <si>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주제 선정 및 분석 질문 정의</t>
    </r>
  </si>
  <si>
    <r>
      <rPr>
        <sz val="10"/>
        <rFont val="Arial"/>
        <family val="2"/>
      </rPr>
      <t xml:space="preserve">· KPI </t>
    </r>
    <r>
      <rPr>
        <sz val="10"/>
        <rFont val="Noto Sans CJK SC"/>
        <family val="2"/>
      </rPr>
      <t>선정 및 판단 기준 합의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</si>
  <si>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데이터 검증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건수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결측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값 범위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</si>
  <si>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 xml:space="preserve">분석 결과 검토 및 </t>
    </r>
    <r>
      <rPr>
        <sz val="10"/>
        <rFont val="Arial"/>
        <family val="2"/>
      </rPr>
      <t xml:space="preserve">Insight </t>
    </r>
    <r>
      <rPr>
        <sz val="10"/>
        <rFont val="Noto Sans CJK SC"/>
        <family val="2"/>
      </rPr>
      <t>도출</t>
    </r>
  </si>
  <si>
    <r>
      <rPr>
        <sz val="10"/>
        <rFont val="Arial"/>
        <family val="2"/>
      </rPr>
      <t xml:space="preserve">· </t>
    </r>
    <r>
      <rPr>
        <sz val="10"/>
        <rFont val="Noto Sans CJK SC"/>
        <family val="2"/>
      </rPr>
      <t>최종 발표 준비 및 리허설</t>
    </r>
  </si>
  <si>
    <r>
      <rPr>
        <b/>
        <sz val="14"/>
        <color rgb="FFFFFFFF"/>
        <rFont val="Arial"/>
        <family val="2"/>
      </rPr>
      <t>10. 3</t>
    </r>
    <r>
      <rPr>
        <b/>
        <sz val="14"/>
        <color rgb="FFFFFFFF"/>
        <rFont val="Noto Sans CJK SC"/>
        <family val="2"/>
      </rPr>
      <t xml:space="preserve">주 </t>
    </r>
    <r>
      <rPr>
        <b/>
        <sz val="14"/>
        <color rgb="FFFFFFFF"/>
        <rFont val="Arial"/>
        <family val="2"/>
      </rPr>
      <t xml:space="preserve">WBS </t>
    </r>
    <r>
      <rPr>
        <b/>
        <sz val="14"/>
        <color rgb="FFFFFFFF"/>
        <rFont val="Noto Sans CJK SC"/>
        <family val="2"/>
      </rPr>
      <t>일정표</t>
    </r>
  </si>
  <si>
    <r>
      <rPr>
        <i/>
        <sz val="9"/>
        <color rgb="FF595959"/>
        <rFont val="Arial"/>
        <family val="2"/>
      </rPr>
      <t>2026.08.18 ~ 09.03 · 1</t>
    </r>
    <r>
      <rPr>
        <i/>
        <sz val="9"/>
        <color rgb="FF595959"/>
        <rFont val="Noto Sans CJK SC"/>
        <family val="2"/>
      </rPr>
      <t xml:space="preserve">인 하루 </t>
    </r>
    <r>
      <rPr>
        <i/>
        <sz val="9"/>
        <color rgb="FF595959"/>
        <rFont val="Arial"/>
        <family val="2"/>
      </rPr>
      <t>4</t>
    </r>
    <r>
      <rPr>
        <i/>
        <sz val="9"/>
        <color rgb="FF595959"/>
        <rFont val="Noto Sans CJK SC"/>
        <family val="2"/>
      </rPr>
      <t xml:space="preserve">시간 </t>
    </r>
    <r>
      <rPr>
        <i/>
        <sz val="9"/>
        <color rgb="FF595959"/>
        <rFont val="Arial"/>
        <family val="2"/>
      </rPr>
      <t>· 4</t>
    </r>
    <r>
      <rPr>
        <i/>
        <sz val="9"/>
        <color rgb="FF595959"/>
        <rFont val="Noto Sans CJK SC"/>
        <family val="2"/>
      </rPr>
      <t>인</t>
    </r>
  </si>
  <si>
    <t>주차</t>
  </si>
  <si>
    <t>주요 작업</t>
  </si>
  <si>
    <t>세부 작업</t>
  </si>
  <si>
    <t>담당 역할</t>
  </si>
  <si>
    <t>예상 시간</t>
  </si>
  <si>
    <t>상태</t>
  </si>
  <si>
    <t>완료일 / 예정일</t>
  </si>
  <si>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>주차</t>
    </r>
  </si>
  <si>
    <t>프로젝트 기획</t>
  </si>
  <si>
    <t>주제 및 분석 질문 설정, KPI 확정</t>
  </si>
  <si>
    <t>전원</t>
  </si>
  <si>
    <t>완료</t>
  </si>
  <si>
    <t>8/18</t>
  </si>
  <si>
    <t>데이터 수집</t>
  </si>
  <si>
    <t>지하철·부동산 공공데이터 확보</t>
  </si>
  <si>
    <t>Data Engineer</t>
  </si>
  <si>
    <t>8/19</t>
  </si>
  <si>
    <t>전처리</t>
  </si>
  <si>
    <t>연도·역명·주택유형·거래유형 정리</t>
  </si>
  <si>
    <t>8/20</t>
  </si>
  <si>
    <t>데이터 통합</t>
  </si>
  <si>
    <t>부동산 6개 데이터 통합, 33개 역 기준 구성</t>
  </si>
  <si>
    <r>
      <rPr>
        <sz val="10"/>
        <rFont val="Arial"/>
        <family val="2"/>
      </rPr>
      <t xml:space="preserve">DB </t>
    </r>
    <r>
      <rPr>
        <sz val="10"/>
        <rFont val="Noto Sans CJK SC"/>
        <family val="2"/>
      </rPr>
      <t>구축</t>
    </r>
  </si>
  <si>
    <r>
      <rPr>
        <sz val="10"/>
        <rFont val="Arial"/>
        <family val="2"/>
      </rPr>
      <t xml:space="preserve">MySQL </t>
    </r>
    <r>
      <rPr>
        <sz val="10"/>
        <rFont val="Noto Sans CJK SC"/>
        <family val="2"/>
      </rPr>
      <t>테이블 생성 및 데이터 적재</t>
    </r>
  </si>
  <si>
    <t>Data Analyst</t>
  </si>
  <si>
    <t>8/21</t>
  </si>
  <si>
    <t>인덱스 설정</t>
  </si>
  <si>
    <r>
      <rPr>
        <sz val="10"/>
        <rFont val="Arial"/>
        <family val="2"/>
      </rPr>
      <t xml:space="preserve">(year, station_name) </t>
    </r>
    <r>
      <rPr>
        <sz val="10"/>
        <rFont val="Noto Sans CJK SC"/>
        <family val="2"/>
      </rPr>
      <t>복합 인덱스 생성</t>
    </r>
  </si>
  <si>
    <t>데이터 검증</t>
  </si>
  <si>
    <t>데이터 건수 및 결측치 확인</t>
  </si>
  <si>
    <r>
      <rPr>
        <b/>
        <sz val="10"/>
        <rFont val="Arial"/>
        <family val="2"/>
      </rPr>
      <t>2</t>
    </r>
    <r>
      <rPr>
        <b/>
        <sz val="10"/>
        <rFont val="Noto Sans CJK SC"/>
        <family val="2"/>
      </rPr>
      <t>주차</t>
    </r>
  </si>
  <si>
    <r>
      <rPr>
        <sz val="10"/>
        <rFont val="Arial"/>
        <family val="2"/>
      </rPr>
      <t xml:space="preserve">SQL </t>
    </r>
    <r>
      <rPr>
        <sz val="10"/>
        <rFont val="Noto Sans CJK SC"/>
        <family val="2"/>
      </rPr>
      <t>분석</t>
    </r>
  </si>
  <si>
    <r>
      <rPr>
        <sz val="10"/>
        <rFont val="Arial"/>
        <family val="2"/>
      </rPr>
      <t xml:space="preserve">JOIN </t>
    </r>
    <r>
      <rPr>
        <sz val="10"/>
        <rFont val="Noto Sans CJK SC"/>
        <family val="2"/>
      </rPr>
      <t xml:space="preserve">및 </t>
    </r>
    <r>
      <rPr>
        <sz val="10"/>
        <rFont val="Arial"/>
        <family val="2"/>
      </rPr>
      <t xml:space="preserve">GROUP BY </t>
    </r>
    <r>
      <rPr>
        <sz val="10"/>
        <rFont val="Noto Sans CJK SC"/>
        <family val="2"/>
      </rPr>
      <t>집계</t>
    </r>
  </si>
  <si>
    <t>8/24</t>
  </si>
  <si>
    <t>분석 데이터 구축</t>
  </si>
  <si>
    <t>연도·역별 평균 거래금액 및 이용량 생성</t>
  </si>
  <si>
    <t>Analyst + Engineer</t>
  </si>
  <si>
    <t>기초 분석</t>
  </si>
  <si>
    <t>연도별 이용량·가격 변화 분석</t>
  </si>
  <si>
    <t>Analyst &amp; PM</t>
  </si>
  <si>
    <t>8/25</t>
  </si>
  <si>
    <t>상관관계 분석</t>
  </si>
  <si>
    <t>주택·거래·연도별 상관계수 산출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</si>
  <si>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분면 분석</t>
    </r>
  </si>
  <si>
    <t>이용량·가격 중앙값 기준 역 분류</t>
  </si>
  <si>
    <r>
      <rPr>
        <sz val="10"/>
        <rFont val="Arial"/>
        <family val="2"/>
      </rPr>
      <t>48</t>
    </r>
    <r>
      <rPr>
        <sz val="10"/>
        <rFont val="Noto Sans CJK SC"/>
        <family val="2"/>
      </rPr>
      <t>개 조합 자동화</t>
    </r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</si>
  <si>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연도 </t>
    </r>
    <r>
      <rPr>
        <sz val="10"/>
        <rFont val="Arial"/>
        <family val="2"/>
      </rPr>
      <t>× 4</t>
    </r>
    <r>
      <rPr>
        <sz val="10"/>
        <rFont val="Noto Sans CJK SC"/>
        <family val="2"/>
      </rPr>
      <t xml:space="preserve">주택유형 </t>
    </r>
    <r>
      <rPr>
        <sz val="10"/>
        <rFont val="Arial"/>
        <family val="2"/>
      </rPr>
      <t>× 3</t>
    </r>
    <r>
      <rPr>
        <sz val="10"/>
        <rFont val="Noto Sans CJK SC"/>
        <family val="2"/>
      </rPr>
      <t>거래유형 자동 분석 함수</t>
    </r>
  </si>
  <si>
    <r>
      <rPr>
        <sz val="10"/>
        <rFont val="Arial"/>
        <family val="2"/>
      </rPr>
      <t xml:space="preserve">Power BI </t>
    </r>
    <r>
      <rPr>
        <sz val="10"/>
        <rFont val="Noto Sans CJK SC"/>
        <family val="2"/>
      </rPr>
      <t>연결</t>
    </r>
  </si>
  <si>
    <r>
      <rPr>
        <sz val="10"/>
        <rFont val="Arial"/>
        <family val="2"/>
      </rPr>
      <t xml:space="preserve">MySQL </t>
    </r>
    <r>
      <rPr>
        <sz val="10"/>
        <rFont val="Noto Sans CJK SC"/>
        <family val="2"/>
      </rPr>
      <t>연결 및 데이터 모델링</t>
    </r>
  </si>
  <si>
    <t>BI Developer</t>
  </si>
  <si>
    <t>8/27</t>
  </si>
  <si>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>주차</t>
    </r>
  </si>
  <si>
    <r>
      <rPr>
        <sz val="10"/>
        <rFont val="Arial"/>
        <family val="2"/>
      </rPr>
      <t xml:space="preserve">DAX </t>
    </r>
    <r>
      <rPr>
        <sz val="10"/>
        <rFont val="Noto Sans CJK SC"/>
        <family val="2"/>
      </rPr>
      <t>작성</t>
    </r>
  </si>
  <si>
    <r>
      <rPr>
        <sz val="10"/>
        <rFont val="Arial"/>
        <family val="2"/>
      </rPr>
      <t xml:space="preserve">M1~M11 </t>
    </r>
    <r>
      <rPr>
        <sz val="10"/>
        <rFont val="Noto Sans CJK SC"/>
        <family val="2"/>
      </rPr>
      <t>측정값 작성 및 검증</t>
    </r>
  </si>
  <si>
    <t>진행 전</t>
  </si>
  <si>
    <t>8/28</t>
  </si>
  <si>
    <t>Dashboard</t>
  </si>
  <si>
    <r>
      <rPr>
        <sz val="10"/>
        <rFont val="Arial"/>
        <family val="2"/>
      </rPr>
      <t xml:space="preserve">Page 1 Overview </t>
    </r>
    <r>
      <rPr>
        <sz val="10"/>
        <rFont val="Noto Sans CJK SC"/>
        <family val="2"/>
      </rPr>
      <t>구성</t>
    </r>
  </si>
  <si>
    <r>
      <rPr>
        <sz val="10"/>
        <rFont val="Arial"/>
        <family val="2"/>
      </rPr>
      <t xml:space="preserve">Page 2 </t>
    </r>
    <r>
      <rPr>
        <sz val="10"/>
        <rFont val="Noto Sans CJK SC"/>
        <family val="2"/>
      </rPr>
      <t>주택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거래유형 상세 분석</t>
    </r>
  </si>
  <si>
    <t>8/31</t>
  </si>
  <si>
    <r>
      <rPr>
        <sz val="10"/>
        <rFont val="Arial"/>
        <family val="2"/>
      </rPr>
      <t>Page 3 4</t>
    </r>
    <r>
      <rPr>
        <sz val="10"/>
        <rFont val="Noto Sans CJK SC"/>
        <family val="2"/>
      </rPr>
      <t>분면 분석 시각화</t>
    </r>
  </si>
  <si>
    <t>9/1</t>
  </si>
  <si>
    <r>
      <rPr>
        <sz val="10"/>
        <rFont val="Arial"/>
        <family val="2"/>
      </rPr>
      <t xml:space="preserve">Page 4 Insight &amp; Action </t>
    </r>
    <r>
      <rPr>
        <sz val="10"/>
        <rFont val="Noto Sans CJK SC"/>
        <family val="2"/>
      </rPr>
      <t>구성</t>
    </r>
  </si>
  <si>
    <t>결과 검증</t>
  </si>
  <si>
    <r>
      <rPr>
        <sz val="10"/>
        <rFont val="Arial"/>
        <family val="2"/>
      </rPr>
      <t xml:space="preserve">Python </t>
    </r>
    <r>
      <rPr>
        <sz val="10"/>
        <rFont val="Noto Sans CJK SC"/>
        <family val="2"/>
      </rPr>
      <t xml:space="preserve">분석 결과와 </t>
    </r>
    <r>
      <rPr>
        <sz val="10"/>
        <rFont val="Arial"/>
        <family val="2"/>
      </rPr>
      <t xml:space="preserve">DAX </t>
    </r>
    <r>
      <rPr>
        <sz val="10"/>
        <rFont val="Noto Sans CJK SC"/>
        <family val="2"/>
      </rPr>
      <t>결과 교차 검증</t>
    </r>
  </si>
  <si>
    <t>보고서</t>
  </si>
  <si>
    <t>프로젝트 보고서 작성 (한계 포함)</t>
  </si>
  <si>
    <t>9/2</t>
  </si>
  <si>
    <t>발표자료</t>
  </si>
  <si>
    <t>발표용 대시보드 제작 및 발표 준비</t>
  </si>
  <si>
    <t>최종 발표</t>
  </si>
  <si>
    <t>리허설 및 최종 제출</t>
  </si>
  <si>
    <t>9/3</t>
  </si>
  <si>
    <t>상태는 2026.08.27 기준입니다. 1·2주차 분석 단계는 모두 완료되었고 남은 것은 Power BI 구현과 문서화입니다.</t>
  </si>
  <si>
    <t>상태 칸은 드롭다운(진행 전/진행 중/완료/보류)이며, 완료 항목은 완료일, 남은 항목은 목표 예정일입니다.</t>
  </si>
  <si>
    <r>
      <rPr>
        <b/>
        <sz val="14"/>
        <color rgb="FFFFFFFF"/>
        <rFont val="Arial"/>
        <family val="2"/>
      </rPr>
      <t xml:space="preserve">11. </t>
    </r>
    <r>
      <rPr>
        <b/>
        <sz val="14"/>
        <color rgb="FFFFFFFF"/>
        <rFont val="Noto Sans CJK SC"/>
        <family val="2"/>
      </rPr>
      <t>최종 산출물 및 평가 기준</t>
    </r>
  </si>
  <si>
    <t>Deliverables &amp; Evaluation</t>
  </si>
  <si>
    <r>
      <rPr>
        <b/>
        <sz val="11"/>
        <color rgb="FF1F3864"/>
        <rFont val="Arial"/>
        <family val="2"/>
      </rPr>
      <t xml:space="preserve">11.1  </t>
    </r>
    <r>
      <rPr>
        <b/>
        <sz val="11"/>
        <color rgb="FF1F3864"/>
        <rFont val="Noto Sans CJK SC"/>
        <family val="2"/>
      </rPr>
      <t>최종 산출물</t>
    </r>
  </si>
  <si>
    <t>산출물</t>
  </si>
  <si>
    <r>
      <rPr>
        <sz val="10"/>
        <rFont val="Arial"/>
        <family val="2"/>
      </rPr>
      <t xml:space="preserve">Python </t>
    </r>
    <r>
      <rPr>
        <sz val="10"/>
        <rFont val="Noto Sans CJK SC"/>
        <family val="2"/>
      </rPr>
      <t>코드</t>
    </r>
  </si>
  <si>
    <t>데이터 수집·전처리 및 통합 코드</t>
  </si>
  <si>
    <t>.ipynb</t>
  </si>
  <si>
    <t>MySQL Database</t>
  </si>
  <si>
    <t>subway / real_estate / subway_annual</t>
  </si>
  <si>
    <r>
      <rPr>
        <sz val="10"/>
        <rFont val="Arial"/>
        <family val="2"/>
      </rPr>
      <t xml:space="preserve">.sql </t>
    </r>
    <r>
      <rPr>
        <sz val="10"/>
        <rFont val="Noto Sans CJK SC"/>
        <family val="2"/>
      </rPr>
      <t>덤프</t>
    </r>
  </si>
  <si>
    <t>SQL Query</t>
  </si>
  <si>
    <r>
      <rPr>
        <sz val="10"/>
        <rFont val="Arial"/>
        <family val="2"/>
      </rPr>
      <t xml:space="preserve">JOIN </t>
    </r>
    <r>
      <rPr>
        <sz val="10"/>
        <rFont val="Noto Sans CJK SC"/>
        <family val="2"/>
      </rPr>
      <t>및 집계 분석 쿼리 모음</t>
    </r>
  </si>
  <si>
    <t>.sql</t>
  </si>
  <si>
    <t>분석 데이터</t>
  </si>
  <si>
    <t>연도·역·주택유형·거래유형별 집계 데이터</t>
  </si>
  <si>
    <t>.csv</t>
  </si>
  <si>
    <r>
      <rPr>
        <sz val="10"/>
        <rFont val="Arial"/>
        <family val="2"/>
      </rPr>
      <t>48</t>
    </r>
    <r>
      <rPr>
        <sz val="10"/>
        <rFont val="Noto Sans CJK SC"/>
        <family val="2"/>
      </rPr>
      <t xml:space="preserve">개 조합 </t>
    </r>
    <r>
      <rPr>
        <sz val="10"/>
        <rFont val="Arial"/>
        <family val="2"/>
      </rPr>
      <t xml:space="preserve">Pearson </t>
    </r>
    <r>
      <rPr>
        <sz val="10"/>
        <rFont val="Noto Sans CJK SC"/>
        <family val="2"/>
      </rPr>
      <t>상관계수 및 유의성 검정</t>
    </r>
  </si>
  <si>
    <t>중앙값 기준 역별 유형 분류 결과</t>
  </si>
  <si>
    <t>.ipynb / .csv</t>
  </si>
  <si>
    <r>
      <rPr>
        <sz val="10"/>
        <rFont val="Arial"/>
        <family val="2"/>
      </rPr>
      <t xml:space="preserve">Power BI </t>
    </r>
    <r>
      <rPr>
        <sz val="10"/>
        <rFont val="Noto Sans CJK SC"/>
        <family val="2"/>
      </rPr>
      <t>대시보드</t>
    </r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</si>
  <si>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개 페이지 완성본</t>
    </r>
  </si>
  <si>
    <t>.pbix</t>
  </si>
  <si>
    <t>프로젝트 보고서</t>
  </si>
  <si>
    <t>분석 과정·결과·한계</t>
  </si>
  <si>
    <t>.docx / .pdf</t>
  </si>
  <si>
    <t>.pptx</t>
  </si>
  <si>
    <r>
      <rPr>
        <b/>
        <sz val="11"/>
        <color rgb="FF1F3864"/>
        <rFont val="Arial"/>
        <family val="2"/>
      </rPr>
      <t xml:space="preserve">11.2  </t>
    </r>
    <r>
      <rPr>
        <b/>
        <sz val="11"/>
        <color rgb="FF1F3864"/>
        <rFont val="Noto Sans CJK SC"/>
        <family val="2"/>
      </rPr>
      <t>평가 기준</t>
    </r>
  </si>
  <si>
    <t>평가 영역</t>
  </si>
  <si>
    <t>평가 내용</t>
  </si>
  <si>
    <t>배점</t>
  </si>
  <si>
    <t>자체 점수</t>
  </si>
  <si>
    <t>문제 정의</t>
  </si>
  <si>
    <t>분석 목적과 질문이 명확한가</t>
  </si>
  <si>
    <t>데이터 수집/전처리</t>
  </si>
  <si>
    <t>데이터를 적절하게 수집·정제했는가</t>
  </si>
  <si>
    <r>
      <rPr>
        <b/>
        <sz val="10"/>
        <rFont val="Arial"/>
        <family val="2"/>
      </rPr>
      <t xml:space="preserve">SQL/DB </t>
    </r>
    <r>
      <rPr>
        <b/>
        <sz val="10"/>
        <rFont val="Noto Sans CJK SC"/>
        <family val="2"/>
      </rPr>
      <t>설계</t>
    </r>
  </si>
  <si>
    <r>
      <rPr>
        <sz val="10"/>
        <rFont val="Arial"/>
        <family val="2"/>
      </rPr>
      <t xml:space="preserve">DB </t>
    </r>
    <r>
      <rPr>
        <sz val="10"/>
        <rFont val="Noto Sans CJK SC"/>
        <family val="2"/>
      </rPr>
      <t xml:space="preserve">및 </t>
    </r>
    <r>
      <rPr>
        <sz val="10"/>
        <rFont val="Arial"/>
        <family val="2"/>
      </rPr>
      <t xml:space="preserve">SQL </t>
    </r>
    <r>
      <rPr>
        <sz val="10"/>
        <rFont val="Noto Sans CJK SC"/>
        <family val="2"/>
      </rPr>
      <t>분석이 적절한가</t>
    </r>
  </si>
  <si>
    <t>데이터 분석</t>
  </si>
  <si>
    <t>통계 및 비교 분석이 적절한가</t>
  </si>
  <si>
    <t>Power BI</t>
  </si>
  <si>
    <t>모델링 및 시각화가 적절한가</t>
  </si>
  <si>
    <t>Insight</t>
  </si>
  <si>
    <t>의미 있는 분석 결과를 도출했는가</t>
  </si>
  <si>
    <t>완성도/발표</t>
  </si>
  <si>
    <t>프로젝트 결과물의 완성도</t>
  </si>
  <si>
    <t>자체 점수는 2026.08.27 기준입니다. 분석 단계는 완료되어 높게, Power BI·발표는 미완이라 낮게 잡았습니다.</t>
  </si>
  <si>
    <r>
      <rPr>
        <b/>
        <sz val="11"/>
        <color rgb="FF1F3864"/>
        <rFont val="Arial"/>
        <family val="2"/>
      </rPr>
      <t xml:space="preserve">11.3  </t>
    </r>
    <r>
      <rPr>
        <b/>
        <sz val="11"/>
        <color rgb="FF1F3864"/>
        <rFont val="Noto Sans CJK SC"/>
        <family val="2"/>
      </rPr>
      <t>프로젝트 한 줄 요약</t>
    </r>
  </si>
  <si>
    <t>본 프로젝트는 2022~2025년 서울 지하철 2호선 33개 역의 지하철 이용량과 4개 주택유형의 매매·전세·월세 부동산 데이터를 Python과 MySQL로 전처리·분석하고, 이용량과 부동산 가격의 관계 및 역별 특성을 Power BI로 시각화하여 역세권 유형별 특징과 주요 Insight를 도출하는 것을 목적으로 한다.</t>
  </si>
  <si>
    <r>
      <rPr>
        <b/>
        <sz val="11"/>
        <color rgb="FF1F3864"/>
        <rFont val="Arial"/>
        <family val="2"/>
      </rPr>
      <t xml:space="preserve">11.4  </t>
    </r>
    <r>
      <rPr>
        <b/>
        <sz val="11"/>
        <color rgb="FF1F3864"/>
        <rFont val="Noto Sans CJK SC"/>
        <family val="2"/>
      </rPr>
      <t xml:space="preserve">분석의 한계 </t>
    </r>
    <r>
      <rPr>
        <b/>
        <sz val="11"/>
        <color rgb="FF1F3864"/>
        <rFont val="Arial"/>
        <family val="2"/>
      </rPr>
      <t>(</t>
    </r>
    <r>
      <rPr>
        <b/>
        <sz val="11"/>
        <color rgb="FF1F3864"/>
        <rFont val="Noto Sans CJK SC"/>
        <family val="2"/>
      </rPr>
      <t>보고서</t>
    </r>
    <r>
      <rPr>
        <b/>
        <sz val="11"/>
        <color rgb="FF1F3864"/>
        <rFont val="Arial"/>
        <family val="2"/>
      </rPr>
      <t>·</t>
    </r>
    <r>
      <rPr>
        <b/>
        <sz val="11"/>
        <color rgb="FF1F3864"/>
        <rFont val="Noto Sans CJK SC"/>
        <family val="2"/>
      </rPr>
      <t>발표에 반드시 포함</t>
    </r>
    <r>
      <rPr>
        <b/>
        <sz val="11"/>
        <color rgb="FF1F3864"/>
        <rFont val="Arial"/>
        <family val="2"/>
      </rPr>
      <t>)</t>
    </r>
  </si>
  <si>
    <t>① 전용면적 데이터를 사용하지 않아 평당가격 보정이 없다. 큰 평형이 많은 역이 비싸 보이는 효과를 배제하지 못했다.</t>
  </si>
  <si>
    <t>② 역세권을 좌표 반경이 아닌 자치구·법정동 기준으로 매칭했다. 실제 도보 거리와는 차이가 있다.</t>
  </si>
  <si>
    <t>③ 표본이 33개 역으로 작아 상관계수의 신뢰구간이 넓다. 대부분의 조합이 유의 임계값(0.344)에 미달했다.</t>
  </si>
  <si>
    <t>④ 단독다가구처럼 거래 건수가 적은 유형은 역별 평균이 불안정해 상관계수가 과대·과소 추정될 수 있다.</t>
  </si>
  <si>
    <t>⑤ 상관관계는 인과관계가 아니다. 이용량이 가격을 올린다는 방향의 결론은 이 데이터로 내릴 수 없다.</t>
  </si>
  <si>
    <r>
      <rPr>
        <b/>
        <sz val="14"/>
        <color rgb="FFFFFFFF"/>
        <rFont val="Arial"/>
        <family val="2"/>
      </rPr>
      <t xml:space="preserve">12. </t>
    </r>
    <r>
      <rPr>
        <b/>
        <sz val="14"/>
        <color rgb="FFFFFFFF"/>
        <rFont val="Noto Sans CJK SC"/>
        <family val="2"/>
      </rPr>
      <t>프로젝트 최종 점검표</t>
    </r>
  </si>
  <si>
    <r>
      <rPr>
        <i/>
        <sz val="9"/>
        <color rgb="FF595959"/>
        <rFont val="Arial"/>
        <family val="2"/>
      </rPr>
      <t xml:space="preserve">Final Checklist — 2026.08.27 </t>
    </r>
    <r>
      <rPr>
        <i/>
        <sz val="9"/>
        <color rgb="FF595959"/>
        <rFont val="Noto Sans CJK SC"/>
        <family val="2"/>
      </rPr>
      <t>기준</t>
    </r>
  </si>
  <si>
    <t>점검 항목</t>
  </si>
  <si>
    <t>지하철 데이터 확보</t>
  </si>
  <si>
    <t>O</t>
  </si>
  <si>
    <t>부동산 데이터 확보</t>
  </si>
  <si>
    <t>국토교통부 4종 + 전월세</t>
  </si>
  <si>
    <r>
      <rPr>
        <sz val="10"/>
        <rFont val="Arial"/>
        <family val="2"/>
      </rPr>
      <t xml:space="preserve">Python </t>
    </r>
    <r>
      <rPr>
        <sz val="10"/>
        <rFont val="Noto Sans CJK SC"/>
        <family val="2"/>
      </rPr>
      <t>전처리</t>
    </r>
  </si>
  <si>
    <r>
      <rPr>
        <sz val="10"/>
        <color rgb="FF0000FF"/>
        <rFont val="Arial"/>
        <family val="2"/>
      </rPr>
      <t xml:space="preserve">8/20 </t>
    </r>
    <r>
      <rPr>
        <sz val="10"/>
        <color rgb="FF0000FF"/>
        <rFont val="Noto Sans CJK SC"/>
        <family val="2"/>
      </rPr>
      <t>완료</t>
    </r>
  </si>
  <si>
    <t>연도별 데이터 통합 (2022~2025)</t>
  </si>
  <si>
    <t>역명 정리 (33개 역)</t>
  </si>
  <si>
    <r>
      <rPr>
        <sz val="10"/>
        <color rgb="FF0000FF"/>
        <rFont val="Arial"/>
        <family val="2"/>
      </rPr>
      <t xml:space="preserve">8/19 </t>
    </r>
    <r>
      <rPr>
        <sz val="10"/>
        <color rgb="FF0000FF"/>
        <rFont val="Noto Sans CJK SC"/>
        <family val="2"/>
      </rPr>
      <t>완료</t>
    </r>
  </si>
  <si>
    <r>
      <rPr>
        <sz val="10"/>
        <rFont val="Arial"/>
        <family val="2"/>
      </rPr>
      <t xml:space="preserve">MySQL </t>
    </r>
    <r>
      <rPr>
        <sz val="10"/>
        <rFont val="Noto Sans CJK SC"/>
        <family val="2"/>
      </rPr>
      <t>적재</t>
    </r>
  </si>
  <si>
    <r>
      <rPr>
        <sz val="10"/>
        <color rgb="FF0000FF"/>
        <rFont val="Arial"/>
        <family val="2"/>
      </rPr>
      <t xml:space="preserve">8/21 </t>
    </r>
    <r>
      <rPr>
        <sz val="10"/>
        <color rgb="FF0000FF"/>
        <rFont val="Noto Sans CJK SC"/>
        <family val="2"/>
      </rPr>
      <t>완료</t>
    </r>
  </si>
  <si>
    <t>건수·결측 확인</t>
  </si>
  <si>
    <t>SQL</t>
  </si>
  <si>
    <r>
      <rPr>
        <sz val="10"/>
        <rFont val="Arial"/>
        <family val="2"/>
      </rPr>
      <t xml:space="preserve">subway </t>
    </r>
    <r>
      <rPr>
        <sz val="10"/>
        <rFont val="Noto Sans CJK SC"/>
        <family val="2"/>
      </rPr>
      <t>테이블 구축</t>
    </r>
  </si>
  <si>
    <r>
      <rPr>
        <sz val="10"/>
        <rFont val="Arial"/>
        <family val="2"/>
      </rPr>
      <t xml:space="preserve">real_estate </t>
    </r>
    <r>
      <rPr>
        <sz val="10"/>
        <rFont val="Noto Sans CJK SC"/>
        <family val="2"/>
      </rPr>
      <t>테이블 구축</t>
    </r>
  </si>
  <si>
    <r>
      <rPr>
        <sz val="10"/>
        <rFont val="Arial"/>
        <family val="2"/>
      </rPr>
      <t xml:space="preserve">subway_annual </t>
    </r>
    <r>
      <rPr>
        <sz val="10"/>
        <rFont val="Noto Sans CJK SC"/>
        <family val="2"/>
      </rPr>
      <t>집계 데이터 구축</t>
    </r>
  </si>
  <si>
    <r>
      <rPr>
        <sz val="10"/>
        <color rgb="FF0000FF"/>
        <rFont val="Arial"/>
        <family val="2"/>
      </rPr>
      <t>33 × 4 = 132</t>
    </r>
    <r>
      <rPr>
        <sz val="10"/>
        <color rgb="FF0000FF"/>
        <rFont val="Noto Sans CJK SC"/>
        <family val="2"/>
      </rPr>
      <t>행</t>
    </r>
  </si>
  <si>
    <t>복합 인덱스 설정</t>
  </si>
  <si>
    <r>
      <rPr>
        <sz val="10"/>
        <color rgb="FF0000FF"/>
        <rFont val="Arial"/>
        <family val="2"/>
      </rPr>
      <t xml:space="preserve">8/24 </t>
    </r>
    <r>
      <rPr>
        <sz val="10"/>
        <color rgb="FF0000FF"/>
        <rFont val="Noto Sans CJK SC"/>
        <family val="2"/>
      </rPr>
      <t>완료</t>
    </r>
  </si>
  <si>
    <t>분석</t>
  </si>
  <si>
    <t>연도별 이용량·가격 분석</t>
  </si>
  <si>
    <r>
      <rPr>
        <sz val="10"/>
        <color rgb="FF0000FF"/>
        <rFont val="Arial"/>
        <family val="2"/>
      </rPr>
      <t xml:space="preserve">8/25 </t>
    </r>
    <r>
      <rPr>
        <sz val="10"/>
        <color rgb="FF0000FF"/>
        <rFont val="Noto Sans CJK SC"/>
        <family val="2"/>
      </rPr>
      <t>완료</t>
    </r>
  </si>
  <si>
    <t>주택 유형별 분석</t>
  </si>
  <si>
    <r>
      <rPr>
        <sz val="10"/>
        <color rgb="FF0000FF"/>
        <rFont val="Arial"/>
        <family val="2"/>
      </rPr>
      <t>4</t>
    </r>
    <r>
      <rPr>
        <sz val="10"/>
        <color rgb="FF0000FF"/>
        <rFont val="Noto Sans CJK SC"/>
        <family val="2"/>
      </rPr>
      <t>종 비교</t>
    </r>
  </si>
  <si>
    <t>거래 유형별 분석</t>
  </si>
  <si>
    <r>
      <rPr>
        <sz val="10"/>
        <color rgb="FF0000FF"/>
        <rFont val="Arial"/>
        <family val="2"/>
      </rPr>
      <t>3</t>
    </r>
    <r>
      <rPr>
        <sz val="10"/>
        <color rgb="FF0000FF"/>
        <rFont val="Noto Sans CJK SC"/>
        <family val="2"/>
      </rPr>
      <t>종 비교</t>
    </r>
  </si>
  <si>
    <t>Pearson</t>
  </si>
  <si>
    <t>중앙값 기준</t>
  </si>
  <si>
    <r>
      <rPr>
        <sz val="10"/>
        <rFont val="Arial"/>
        <family val="2"/>
      </rPr>
      <t>48</t>
    </r>
    <r>
      <rPr>
        <sz val="10"/>
        <rFont val="Noto Sans CJK SC"/>
        <family val="2"/>
      </rPr>
      <t>개 조건 자동 분석</t>
    </r>
  </si>
  <si>
    <r>
      <rPr>
        <sz val="10"/>
        <color rgb="FF0000FF"/>
        <rFont val="Arial"/>
        <family val="2"/>
      </rPr>
      <t xml:space="preserve">Python </t>
    </r>
    <r>
      <rPr>
        <sz val="10"/>
        <color rgb="FF0000FF"/>
        <rFont val="Noto Sans CJK SC"/>
        <family val="2"/>
      </rPr>
      <t>함수화</t>
    </r>
  </si>
  <si>
    <t>상관계수 유의성(n=33, r*=0.344) 판정 표기</t>
  </si>
  <si>
    <t>X</t>
  </si>
  <si>
    <t>보고서 작성 시 반영</t>
  </si>
  <si>
    <t>거래 건수 30건 미만 조합 별도 표기</t>
  </si>
  <si>
    <t>표본 확인 필요</t>
  </si>
  <si>
    <r>
      <rPr>
        <sz val="10"/>
        <rFont val="Arial"/>
        <family val="2"/>
      </rPr>
      <t xml:space="preserve">MySQL </t>
    </r>
    <r>
      <rPr>
        <sz val="10"/>
        <rFont val="Noto Sans CJK SC"/>
        <family val="2"/>
      </rPr>
      <t>연결</t>
    </r>
  </si>
  <si>
    <r>
      <rPr>
        <sz val="10"/>
        <color rgb="FF0000FF"/>
        <rFont val="Arial"/>
        <family val="2"/>
      </rPr>
      <t xml:space="preserve">8/27 </t>
    </r>
    <r>
      <rPr>
        <sz val="10"/>
        <color rgb="FF0000FF"/>
        <rFont val="Noto Sans CJK SC"/>
        <family val="2"/>
      </rPr>
      <t>진행 중</t>
    </r>
  </si>
  <si>
    <t>데이터 모델링 (결합 키 생성)</t>
  </si>
  <si>
    <r>
      <rPr>
        <sz val="10"/>
        <rFont val="Arial"/>
        <family val="2"/>
      </rPr>
      <t xml:space="preserve">DAX M1~M11 </t>
    </r>
    <r>
      <rPr>
        <sz val="10"/>
        <rFont val="Noto Sans CJK SC"/>
        <family val="2"/>
      </rPr>
      <t>작성</t>
    </r>
  </si>
  <si>
    <r>
      <rPr>
        <sz val="10"/>
        <color rgb="FF0000FF"/>
        <rFont val="Arial"/>
        <family val="2"/>
      </rPr>
      <t xml:space="preserve">8/28 </t>
    </r>
    <r>
      <rPr>
        <sz val="10"/>
        <color rgb="FF0000FF"/>
        <rFont val="Noto Sans CJK SC"/>
        <family val="2"/>
      </rPr>
      <t>예정</t>
    </r>
  </si>
  <si>
    <t>Page 1 Overview</t>
  </si>
  <si>
    <r>
      <rPr>
        <sz val="10"/>
        <rFont val="Arial"/>
        <family val="2"/>
      </rPr>
      <t xml:space="preserve">Page 2 </t>
    </r>
    <r>
      <rPr>
        <sz val="10"/>
        <rFont val="Noto Sans CJK SC"/>
        <family val="2"/>
      </rPr>
      <t>주택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거래유형 분석</t>
    </r>
  </si>
  <si>
    <r>
      <rPr>
        <sz val="10"/>
        <color rgb="FF0000FF"/>
        <rFont val="Arial"/>
        <family val="2"/>
      </rPr>
      <t xml:space="preserve">8/31 </t>
    </r>
    <r>
      <rPr>
        <sz val="10"/>
        <color rgb="FF0000FF"/>
        <rFont val="Noto Sans CJK SC"/>
        <family val="2"/>
      </rPr>
      <t>예정</t>
    </r>
  </si>
  <si>
    <r>
      <rPr>
        <sz val="10"/>
        <rFont val="Arial"/>
        <family val="2"/>
      </rPr>
      <t>Page 3 4</t>
    </r>
    <r>
      <rPr>
        <sz val="10"/>
        <rFont val="Noto Sans CJK SC"/>
        <family val="2"/>
      </rPr>
      <t>분면 분석</t>
    </r>
  </si>
  <si>
    <r>
      <rPr>
        <sz val="10"/>
        <color rgb="FF0000FF"/>
        <rFont val="Arial"/>
        <family val="2"/>
      </rPr>
      <t xml:space="preserve">9/1 </t>
    </r>
    <r>
      <rPr>
        <sz val="10"/>
        <color rgb="FF0000FF"/>
        <rFont val="Noto Sans CJK SC"/>
        <family val="2"/>
      </rPr>
      <t>예정</t>
    </r>
  </si>
  <si>
    <t>Page 4 Insight &amp; Action</t>
  </si>
  <si>
    <r>
      <rPr>
        <sz val="10"/>
        <rFont val="Arial"/>
        <family val="2"/>
      </rPr>
      <t xml:space="preserve">Python </t>
    </r>
    <r>
      <rPr>
        <sz val="10"/>
        <rFont val="Noto Sans CJK SC"/>
        <family val="2"/>
      </rPr>
      <t xml:space="preserve">결과와 </t>
    </r>
    <r>
      <rPr>
        <sz val="10"/>
        <rFont val="Arial"/>
        <family val="2"/>
      </rPr>
      <t xml:space="preserve">DAX </t>
    </r>
    <r>
      <rPr>
        <sz val="10"/>
        <rFont val="Noto Sans CJK SC"/>
        <family val="2"/>
      </rPr>
      <t>결과 교차 검증</t>
    </r>
  </si>
  <si>
    <t>발표</t>
  </si>
  <si>
    <t>프로젝트 배경 · 문제 정의</t>
  </si>
  <si>
    <r>
      <rPr>
        <sz val="10"/>
        <color rgb="FF0000FF"/>
        <rFont val="Arial"/>
        <family val="2"/>
      </rPr>
      <t xml:space="preserve">9/2 </t>
    </r>
    <r>
      <rPr>
        <sz val="10"/>
        <color rgb="FF0000FF"/>
        <rFont val="Noto Sans CJK SC"/>
        <family val="2"/>
      </rPr>
      <t>예정</t>
    </r>
  </si>
  <si>
    <t>데이터 수집 · 전처리 · DB 구조</t>
  </si>
  <si>
    <t>상관관계 및 4분면 분석 결과</t>
  </si>
  <si>
    <t>핵심 Insight 및 결론·활용방안</t>
  </si>
  <si>
    <t>분석의 한계 명시 (면적·좌표·표본)</t>
  </si>
  <si>
    <t>리허설</t>
  </si>
  <si>
    <r>
      <rPr>
        <sz val="10"/>
        <color rgb="FF0000FF"/>
        <rFont val="Arial"/>
        <family val="2"/>
      </rPr>
      <t xml:space="preserve">9/3 </t>
    </r>
    <r>
      <rPr>
        <sz val="10"/>
        <color rgb="FF0000FF"/>
        <rFont val="Noto Sans CJK SC"/>
        <family val="2"/>
      </rPr>
      <t>예정</t>
    </r>
  </si>
  <si>
    <t>진행률</t>
  </si>
  <si>
    <t>완료 칸을 O로 바꾸면 진행률이 자동 계산됩니다.</t>
  </si>
  <si>
    <r>
      <rPr>
        <b/>
        <sz val="10"/>
        <color rgb="FFB8860B"/>
        <rFont val="돋움"/>
        <family val="3"/>
        <charset val="129"/>
      </rPr>
      <t>진행</t>
    </r>
    <r>
      <rPr>
        <b/>
        <sz val="10"/>
        <color rgb="FFB8860B"/>
        <rFont val="Noto Sans CJK SC"/>
        <family val="2"/>
        <charset val="1"/>
      </rPr>
      <t xml:space="preserve"> </t>
    </r>
    <r>
      <rPr>
        <b/>
        <sz val="10"/>
        <color rgb="FFB8860B"/>
        <rFont val="돋움"/>
        <family val="3"/>
        <charset val="129"/>
      </rPr>
      <t>중</t>
    </r>
    <phoneticPr fontId="51" type="noConversion"/>
  </si>
  <si>
    <t>전체</t>
    <phoneticPr fontId="51" type="noConversion"/>
  </si>
  <si>
    <r>
      <t xml:space="preserve">BI Developer + </t>
    </r>
    <r>
      <rPr>
        <sz val="10"/>
        <rFont val="돋움"/>
        <family val="3"/>
        <charset val="129"/>
      </rPr>
      <t>전체</t>
    </r>
    <phoneticPr fontId="51" type="noConversion"/>
  </si>
  <si>
    <r>
      <rPr>
        <sz val="10"/>
        <rFont val="돋움"/>
        <family val="3"/>
        <charset val="129"/>
      </rPr>
      <t>발표용</t>
    </r>
    <r>
      <rPr>
        <sz val="10"/>
        <rFont val="Noto Sans CJK SC"/>
        <family val="2"/>
        <charset val="1"/>
      </rPr>
      <t xml:space="preserve"> </t>
    </r>
    <r>
      <rPr>
        <sz val="10"/>
        <rFont val="돋움"/>
        <family val="3"/>
        <charset val="129"/>
      </rPr>
      <t>대시보드</t>
    </r>
    <r>
      <rPr>
        <sz val="10"/>
        <rFont val="Noto Sans CJK SC"/>
        <family val="2"/>
        <charset val="1"/>
      </rPr>
      <t xml:space="preserve"> </t>
    </r>
    <r>
      <rPr>
        <sz val="10"/>
        <rFont val="돋움"/>
        <family val="3"/>
        <charset val="129"/>
      </rPr>
      <t>및</t>
    </r>
    <r>
      <rPr>
        <sz val="10"/>
        <rFont val="Noto Sans CJK SC"/>
        <family val="2"/>
        <charset val="1"/>
      </rPr>
      <t xml:space="preserve"> PPT</t>
    </r>
    <phoneticPr fontId="51" type="noConversion"/>
  </si>
  <si>
    <t>matplotlib.pyplot</t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</si>
</sst>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&quot;시간&quot;"/>
    <numFmt numFmtId="177" formatCode="0.000"/>
    <numFmt numFmtId="178" formatCode="0.0%"/>
    <numFmt numFmtId="179" formatCode="0\h"/>
  </numFmts>
  <fonts count="54">
    <font>
      <sz val="11"/>
      <color theme="1"/>
      <name val="Calibri"/>
      <family val="2"/>
      <charset val="1"/>
    </font>
    <font>
      <b/>
      <sz val="22"/>
      <color rgb="FF1F3864"/>
      <name val="Noto Sans CJK SC"/>
      <family val="2"/>
      <charset val="1"/>
    </font>
    <font>
      <b/>
      <sz val="12"/>
      <color rgb="FF00A84D"/>
      <name val="Noto Sans CJK SC"/>
      <family val="2"/>
      <charset val="1"/>
    </font>
    <font>
      <i/>
      <sz val="9"/>
      <color rgb="FF595959"/>
      <name val="Arial"/>
      <family val="2"/>
    </font>
    <font>
      <b/>
      <sz val="11"/>
      <color rgb="FF1F3864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Arial"/>
      <family val="2"/>
    </font>
    <font>
      <sz val="10"/>
      <name val="Noto Sans CJK SC"/>
      <family val="2"/>
    </font>
    <font>
      <b/>
      <sz val="10"/>
      <name val="Arial"/>
      <family val="2"/>
    </font>
    <font>
      <b/>
      <sz val="10"/>
      <name val="Noto Sans CJK SC"/>
      <family val="2"/>
    </font>
    <font>
      <sz val="10"/>
      <color rgb="FF0000FF"/>
      <name val="Arial"/>
      <family val="2"/>
    </font>
    <font>
      <sz val="9"/>
      <color rgb="FF595959"/>
      <name val="Noto Sans CJK SC"/>
      <family val="2"/>
      <charset val="1"/>
    </font>
    <font>
      <sz val="9"/>
      <color rgb="FFC00000"/>
      <name val="Noto Sans CJK SC"/>
      <family val="2"/>
      <charset val="1"/>
    </font>
    <font>
      <b/>
      <sz val="14"/>
      <color rgb="FFFFFFFF"/>
      <name val="Arial"/>
      <family val="2"/>
    </font>
    <font>
      <b/>
      <sz val="14"/>
      <color rgb="FFFFFFFF"/>
      <name val="Noto Sans CJK SC"/>
      <family val="2"/>
    </font>
    <font>
      <b/>
      <sz val="11"/>
      <color rgb="FF1F3864"/>
      <name val="Arial"/>
      <family val="2"/>
    </font>
    <font>
      <b/>
      <sz val="11"/>
      <color rgb="FF1F3864"/>
      <name val="Noto Sans CJK SC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A84D"/>
      <name val="Arial"/>
      <family val="2"/>
    </font>
    <font>
      <i/>
      <sz val="9"/>
      <color rgb="FF595959"/>
      <name val="Noto Sans CJK SC"/>
      <family val="2"/>
      <charset val="1"/>
    </font>
    <font>
      <sz val="9"/>
      <color rgb="FF595959"/>
      <name val="Arial"/>
      <family val="2"/>
    </font>
    <font>
      <sz val="9"/>
      <color rgb="FF595959"/>
      <name val="Noto Sans CJK SC"/>
      <family val="2"/>
    </font>
    <font>
      <b/>
      <sz val="9"/>
      <color rgb="FFC00000"/>
      <name val="Arial"/>
      <family val="2"/>
    </font>
    <font>
      <b/>
      <sz val="9"/>
      <color rgb="FFC00000"/>
      <name val="Noto Sans CJK SC"/>
      <family val="2"/>
    </font>
    <font>
      <sz val="10"/>
      <color rgb="FF000000"/>
      <name val="Arial"/>
      <family val="2"/>
    </font>
    <font>
      <sz val="10"/>
      <color rgb="FF000000"/>
      <name val="Noto Sans CJK SC"/>
      <family val="2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Noto Sans CJK SC"/>
      <family val="2"/>
    </font>
    <font>
      <sz val="9"/>
      <color rgb="FF0000FF"/>
      <name val="Noto Sans CJK SC"/>
      <family val="2"/>
      <charset val="1"/>
    </font>
    <font>
      <i/>
      <sz val="9"/>
      <color rgb="FF595959"/>
      <name val="Noto Sans CJK SC"/>
      <family val="2"/>
    </font>
    <font>
      <sz val="10"/>
      <name val="Consolas"/>
      <family val="3"/>
    </font>
    <font>
      <b/>
      <sz val="9"/>
      <color rgb="FFC00000"/>
      <name val="Noto Sans CJK SC"/>
      <family val="2"/>
      <charset val="1"/>
    </font>
    <font>
      <b/>
      <sz val="10"/>
      <name val="Consolas"/>
      <family val="3"/>
    </font>
    <font>
      <sz val="9"/>
      <color rgb="FF1F7A3D"/>
      <name val="Consolas"/>
      <family val="3"/>
    </font>
    <font>
      <sz val="9"/>
      <color rgb="FF1F7A3D"/>
      <name val="Noto Sans CJK SC"/>
      <family val="2"/>
    </font>
    <font>
      <sz val="9"/>
      <color rgb="FF000000"/>
      <name val="Consolas"/>
      <family val="3"/>
    </font>
    <font>
      <b/>
      <sz val="10"/>
      <color rgb="FF000000"/>
      <name val="Noto Sans CJK SC"/>
      <family val="2"/>
    </font>
    <font>
      <b/>
      <sz val="13"/>
      <color rgb="FF1F3864"/>
      <name val="Arial"/>
      <family val="2"/>
    </font>
    <font>
      <b/>
      <sz val="10"/>
      <color rgb="FF00A84D"/>
      <name val="Noto Sans CJK SC"/>
      <family val="2"/>
      <charset val="1"/>
    </font>
    <font>
      <sz val="8"/>
      <name val="Noto Sans CJK SC"/>
      <family val="2"/>
      <charset val="1"/>
    </font>
    <font>
      <sz val="10"/>
      <color rgb="FF000000"/>
      <name val="Noto Sans CJK SC"/>
      <family val="2"/>
    </font>
    <font>
      <b/>
      <sz val="10"/>
      <color rgb="FF1F7A3D"/>
      <name val="Noto Sans CJK SC"/>
      <family val="2"/>
      <charset val="1"/>
    </font>
    <font>
      <b/>
      <sz val="10"/>
      <color rgb="FFB8860B"/>
      <name val="Noto Sans CJK SC"/>
      <family val="2"/>
      <charset val="1"/>
    </font>
    <font>
      <sz val="10"/>
      <color rgb="FF595959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b/>
      <sz val="10"/>
      <color rgb="FF1F7A3D"/>
      <name val="Arial"/>
      <family val="2"/>
    </font>
    <font>
      <b/>
      <sz val="10"/>
      <color rgb="FFC00000"/>
      <name val="Arial"/>
      <family val="2"/>
    </font>
    <font>
      <b/>
      <sz val="11"/>
      <color rgb="FFFFFFFF"/>
      <name val="Arial"/>
      <family val="2"/>
    </font>
    <font>
      <sz val="8"/>
      <name val="돋움"/>
      <family val="3"/>
      <charset val="129"/>
    </font>
    <font>
      <b/>
      <sz val="10"/>
      <color rgb="FFB8860B"/>
      <name val="돋움"/>
      <family val="3"/>
      <charset val="129"/>
    </font>
    <font>
      <sz val="10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E6F5EC"/>
        <bgColor rgb="FFEEF6EC"/>
      </patternFill>
    </fill>
    <fill>
      <patternFill patternType="solid">
        <fgColor rgb="FF00A84D"/>
        <bgColor rgb="FF008080"/>
      </patternFill>
    </fill>
    <fill>
      <patternFill patternType="solid">
        <fgColor rgb="FFF2F2F2"/>
        <bgColor rgb="FFF3EEF6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4E6"/>
      </patternFill>
    </fill>
    <fill>
      <patternFill patternType="solid">
        <fgColor rgb="FFE9F0F8"/>
        <bgColor rgb="FFF2F2F2"/>
      </patternFill>
    </fill>
    <fill>
      <patternFill patternType="solid">
        <fgColor rgb="FFF5EFE6"/>
        <bgColor rgb="FFFBEFEF"/>
      </patternFill>
    </fill>
    <fill>
      <patternFill patternType="solid">
        <fgColor rgb="FFFFF4E6"/>
        <bgColor rgb="FFFBEFEF"/>
      </patternFill>
    </fill>
    <fill>
      <patternFill patternType="solid">
        <fgColor rgb="FFEDE7F6"/>
        <bgColor rgb="FFF3EEF6"/>
      </patternFill>
    </fill>
    <fill>
      <patternFill patternType="solid">
        <fgColor rgb="FFEEF6EC"/>
        <bgColor rgb="FFF2F2F2"/>
      </patternFill>
    </fill>
    <fill>
      <patternFill patternType="solid">
        <fgColor rgb="FFF3EEF6"/>
        <bgColor rgb="FFF2F2F2"/>
      </patternFill>
    </fill>
    <fill>
      <patternFill patternType="solid">
        <fgColor rgb="FFFBEFEF"/>
        <bgColor rgb="FFF5EF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 indent="1"/>
    </xf>
    <xf numFmtId="0" fontId="29" fillId="6" borderId="1" xfId="0" applyFont="1" applyFill="1" applyBorder="1" applyAlignment="1">
      <alignment horizontal="left" vertical="center" wrapText="1" indent="1"/>
    </xf>
    <xf numFmtId="0" fontId="29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indent="1"/>
    </xf>
    <xf numFmtId="0" fontId="8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 indent="1"/>
    </xf>
    <xf numFmtId="0" fontId="35" fillId="0" borderId="1" xfId="0" applyFont="1" applyBorder="1" applyAlignment="1">
      <alignment horizontal="left" vertical="center" indent="1"/>
    </xf>
    <xf numFmtId="0" fontId="33" fillId="0" borderId="1" xfId="0" applyFont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7" fontId="12" fillId="2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 applyAlignment="1"/>
    <xf numFmtId="0" fontId="40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 indent="1"/>
    </xf>
    <xf numFmtId="0" fontId="0" fillId="9" borderId="1" xfId="0" applyFill="1" applyBorder="1" applyAlignment="1"/>
    <xf numFmtId="0" fontId="40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 indent="1"/>
    </xf>
    <xf numFmtId="0" fontId="0" fillId="10" borderId="1" xfId="0" applyFill="1" applyBorder="1" applyAlignment="1"/>
    <xf numFmtId="0" fontId="4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 indent="1"/>
    </xf>
    <xf numFmtId="0" fontId="0" fillId="4" borderId="1" xfId="0" applyFill="1" applyBorder="1" applyAlignment="1"/>
    <xf numFmtId="0" fontId="0" fillId="5" borderId="1" xfId="0" applyFill="1" applyBorder="1" applyAlignment="1"/>
    <xf numFmtId="0" fontId="5" fillId="5" borderId="1" xfId="0" applyFont="1" applyFill="1" applyBorder="1" applyAlignment="1">
      <alignment horizontal="right" vertical="center"/>
    </xf>
    <xf numFmtId="0" fontId="19" fillId="5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left" vertical="center" wrapText="1" indent="1"/>
    </xf>
    <xf numFmtId="0" fontId="21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 indent="1"/>
    </xf>
    <xf numFmtId="179" fontId="8" fillId="7" borderId="1" xfId="0" applyNumberFormat="1" applyFont="1" applyFill="1" applyBorder="1" applyAlignment="1">
      <alignment horizontal="center" vertical="center" wrapText="1"/>
    </xf>
    <xf numFmtId="0" fontId="44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 indent="1"/>
    </xf>
    <xf numFmtId="0" fontId="10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 indent="1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 indent="1"/>
    </xf>
    <xf numFmtId="0" fontId="45" fillId="6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 indent="1"/>
    </xf>
    <xf numFmtId="0" fontId="8" fillId="11" borderId="1" xfId="0" applyFont="1" applyFill="1" applyBorder="1" applyAlignment="1">
      <alignment horizontal="center" vertical="center" wrapText="1"/>
    </xf>
    <xf numFmtId="179" fontId="8" fillId="11" borderId="1" xfId="0" applyNumberFormat="1" applyFont="1" applyFill="1" applyBorder="1" applyAlignment="1">
      <alignment horizontal="center" vertical="center" wrapText="1"/>
    </xf>
    <xf numFmtId="0" fontId="46" fillId="6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 indent="1"/>
    </xf>
    <xf numFmtId="179" fontId="19" fillId="5" borderId="1" xfId="0" applyNumberFormat="1" applyFont="1" applyFill="1" applyBorder="1" applyAlignment="1">
      <alignment horizontal="center" vertical="center"/>
    </xf>
    <xf numFmtId="9" fontId="19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0" fontId="47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6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49" fillId="6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178" fontId="50" fillId="5" borderId="1" xfId="0" applyNumberFormat="1" applyFont="1" applyFill="1" applyBorder="1" applyAlignment="1">
      <alignment horizontal="center" vertical="center"/>
    </xf>
    <xf numFmtId="0" fontId="53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13" fillId="0" borderId="0" xfId="0" applyFont="1" applyBorder="1" applyAlignment="1">
      <alignment horizontal="left" vertical="center" wrapText="1" indent="1"/>
    </xf>
    <xf numFmtId="0" fontId="14" fillId="0" borderId="0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17" fillId="2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1"/>
    </xf>
    <xf numFmtId="0" fontId="8" fillId="0" borderId="0" xfId="0" applyFont="1" applyBorder="1" applyAlignment="1">
      <alignment horizontal="left" vertical="center" wrapText="1" indent="1"/>
    </xf>
    <xf numFmtId="0" fontId="7" fillId="0" borderId="0" xfId="0" applyFont="1" applyBorder="1" applyAlignment="1">
      <alignment horizontal="left" vertical="center" wrapText="1" indent="1"/>
    </xf>
    <xf numFmtId="0" fontId="15" fillId="5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31" fillId="0" borderId="0" xfId="0" applyFont="1" applyBorder="1" applyAlignment="1">
      <alignment horizontal="left" vertical="center" wrapText="1" indent="1"/>
    </xf>
    <xf numFmtId="0" fontId="22" fillId="0" borderId="0" xfId="0" applyFont="1" applyBorder="1" applyAlignment="1">
      <alignment horizontal="left" vertical="center" indent="1"/>
    </xf>
    <xf numFmtId="0" fontId="23" fillId="0" borderId="0" xfId="0" applyFont="1" applyBorder="1" applyAlignment="1">
      <alignment horizontal="left" vertical="center" wrapText="1" indent="1"/>
    </xf>
    <xf numFmtId="0" fontId="25" fillId="0" borderId="0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34" fillId="0" borderId="0" xfId="0" applyFont="1" applyBorder="1" applyAlignment="1">
      <alignment horizontal="left" vertical="center" wrapText="1" indent="1"/>
    </xf>
    <xf numFmtId="0" fontId="38" fillId="4" borderId="0" xfId="0" applyFont="1" applyFill="1" applyBorder="1" applyAlignment="1">
      <alignment horizontal="left" vertical="center" indent="1"/>
    </xf>
    <xf numFmtId="0" fontId="33" fillId="4" borderId="1" xfId="0" applyFont="1" applyFill="1" applyBorder="1" applyAlignment="1">
      <alignment horizontal="left" vertical="center" indent="1"/>
    </xf>
    <xf numFmtId="0" fontId="36" fillId="4" borderId="0" xfId="0" applyFont="1" applyFill="1" applyBorder="1" applyAlignment="1">
      <alignment horizontal="left" vertical="center" indent="1"/>
    </xf>
    <xf numFmtId="0" fontId="33" fillId="0" borderId="1" xfId="0" applyFont="1" applyBorder="1" applyAlignment="1">
      <alignment horizontal="left" vertical="center" indent="1"/>
    </xf>
    <xf numFmtId="0" fontId="23" fillId="2" borderId="1" xfId="0" applyFont="1" applyFill="1" applyBorder="1" applyAlignment="1">
      <alignment horizontal="left" vertical="center" indent="1"/>
    </xf>
    <xf numFmtId="0" fontId="7" fillId="4" borderId="0" xfId="0" applyFont="1" applyFill="1" applyBorder="1" applyAlignment="1">
      <alignment horizontal="left" vertical="center" indent="1"/>
    </xf>
    <xf numFmtId="0" fontId="33" fillId="4" borderId="0" xfId="0" applyFont="1" applyFill="1" applyBorder="1" applyAlignment="1">
      <alignment horizontal="left" vertical="center" indent="1"/>
    </xf>
    <xf numFmtId="0" fontId="13" fillId="4" borderId="1" xfId="0" applyFont="1" applyFill="1" applyBorder="1" applyAlignment="1">
      <alignment horizontal="left" vertical="center" wrapText="1" indent="1"/>
    </xf>
    <xf numFmtId="0" fontId="13" fillId="2" borderId="1" xfId="0" applyFont="1" applyFill="1" applyBorder="1" applyAlignment="1">
      <alignment horizontal="left" vertical="center" wrapText="1" indent="1"/>
    </xf>
    <xf numFmtId="0" fontId="13" fillId="9" borderId="1" xfId="0" applyFont="1" applyFill="1" applyBorder="1" applyAlignment="1">
      <alignment horizontal="left" vertical="center" wrapText="1" indent="1"/>
    </xf>
    <xf numFmtId="0" fontId="13" fillId="10" borderId="1" xfId="0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 indent="1"/>
    </xf>
    <xf numFmtId="0" fontId="47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1F7A3D"/>
      <rgbColor rgb="FF000080"/>
      <rgbColor rgb="FFB8860B"/>
      <rgbColor rgb="FF800080"/>
      <rgbColor rgb="FF008080"/>
      <rgbColor rgb="FFBFBFBF"/>
      <rgbColor rgb="FF878787"/>
      <rgbColor rgb="FF9999FF"/>
      <rgbColor rgb="FFBE4B48"/>
      <rgbColor rgb="FFFFF2CC"/>
      <rgbColor rgb="FFE6F5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0F8"/>
      <rgbColor rgb="FFEEF6EC"/>
      <rgbColor rgb="FFFFF4E6"/>
      <rgbColor rgb="FFEDE7F6"/>
      <rgbColor rgb="FFF3EEF6"/>
      <rgbColor rgb="FFFBEFEF"/>
      <rgbColor rgb="FFF5EFE6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A84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연도별 지하철 이용량 및 평균 거래금액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'6.분석결과'!$B$9</c:f>
              <c:strCache>
                <c:ptCount val="1"/>
                <c:pt idx="0">
                  <c:v>지하철 이용량 (만 명)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'6.분석결과'!$A$10:$A$13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'6.분석결과'!$B$10:$B$13</c:f>
              <c:numCache>
                <c:formatCode>#,##0</c:formatCode>
                <c:ptCount val="4"/>
                <c:pt idx="0">
                  <c:v>1861</c:v>
                </c:pt>
                <c:pt idx="1">
                  <c:v>2014</c:v>
                </c:pt>
                <c:pt idx="2">
                  <c:v>2073</c:v>
                </c:pt>
                <c:pt idx="3">
                  <c:v>2109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3-4179-B8E8-14D2AF3C7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83816"/>
        <c:axId val="61814949"/>
      </c:barChart>
      <c:lineChart>
        <c:grouping val="standard"/>
        <c:varyColors val="0"/>
        <c:ser>
          <c:idx val="1"/>
          <c:order val="1"/>
          <c:tx>
            <c:strRef>
              <c:f>'6.분석결과'!$D$9</c:f>
              <c:strCache>
                <c:ptCount val="1"/>
                <c:pt idx="0">
                  <c:v>평균 거래금액 (만원)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'6.분석결과'!$A$10:$A$13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'6.분석결과'!$D$10:$D$13</c:f>
              <c:numCache>
                <c:formatCode>#,##0</c:formatCode>
                <c:ptCount val="4"/>
                <c:pt idx="0">
                  <c:v>103539</c:v>
                </c:pt>
                <c:pt idx="1">
                  <c:v>111696</c:v>
                </c:pt>
                <c:pt idx="2">
                  <c:v>120368</c:v>
                </c:pt>
                <c:pt idx="3">
                  <c:v>135634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AD3-4179-B8E8-14D2AF3C7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3495993"/>
        <c:axId val="10682703"/>
      </c:lineChart>
      <c:catAx>
        <c:axId val="29383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61814949"/>
        <c:crosses val="autoZero"/>
        <c:auto val="1"/>
        <c:lblAlgn val="ctr"/>
        <c:lblOffset val="100"/>
        <c:noMultiLvlLbl val="0"/>
      </c:catAx>
      <c:valAx>
        <c:axId val="6181494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이용량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만 명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9383816"/>
        <c:crosses val="autoZero"/>
        <c:crossBetween val="between"/>
      </c:valAx>
      <c:catAx>
        <c:axId val="234959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0682703"/>
        <c:crosses val="autoZero"/>
        <c:auto val="1"/>
        <c:lblAlgn val="ctr"/>
        <c:lblOffset val="100"/>
        <c:noMultiLvlLbl val="0"/>
      </c:catAx>
      <c:valAx>
        <c:axId val="1068270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평균 거래금액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만원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3495993"/>
        <c:crosses val="max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주택 유형별 평균 상관계수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'6.분석결과'!$B$17</c:f>
              <c:strCache>
                <c:ptCount val="1"/>
                <c:pt idx="0">
                  <c:v>평균 상관계수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'6.분석결과'!$A$18:$A$21</c:f>
              <c:strCache>
                <c:ptCount val="4"/>
                <c:pt idx="0">
                  <c:v>단독다가구</c:v>
                </c:pt>
                <c:pt idx="1">
                  <c:v>아파트</c:v>
                </c:pt>
                <c:pt idx="2">
                  <c:v>연립다세대</c:v>
                </c:pt>
                <c:pt idx="3">
                  <c:v>오피스텔</c:v>
                </c:pt>
              </c:strCache>
            </c:strRef>
          </c:cat>
          <c:val>
            <c:numRef>
              <c:f>'6.분석결과'!$B$18:$B$21</c:f>
              <c:numCache>
                <c:formatCode>0.000</c:formatCode>
                <c:ptCount val="4"/>
                <c:pt idx="0">
                  <c:v>0.377</c:v>
                </c:pt>
                <c:pt idx="1">
                  <c:v>0.28000000000000003</c:v>
                </c:pt>
                <c:pt idx="2">
                  <c:v>0.15</c:v>
                </c:pt>
                <c:pt idx="3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2-48E8-BFE1-A3A0BA5A1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817552"/>
        <c:axId val="92136233"/>
      </c:barChart>
      <c:catAx>
        <c:axId val="9481755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92136233"/>
        <c:crosses val="autoZero"/>
        <c:auto val="1"/>
        <c:lblAlgn val="ctr"/>
        <c:lblOffset val="100"/>
        <c:noMultiLvlLbl val="0"/>
      </c:catAx>
      <c:valAx>
        <c:axId val="921362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948175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거래 유형별 평균 상관계수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52400944927731"/>
          <c:y val="0.30714764974179198"/>
          <c:w val="0.83461279235101149"/>
          <c:h val="0.513799992461080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'6.분석결과'!$B$24</c:f>
              <c:strCache>
                <c:ptCount val="1"/>
                <c:pt idx="0">
                  <c:v>평균 상관계수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'6.분석결과'!$A$25:$A$27</c:f>
              <c:strCache>
                <c:ptCount val="3"/>
                <c:pt idx="0">
                  <c:v>월세</c:v>
                </c:pt>
                <c:pt idx="1">
                  <c:v>매매</c:v>
                </c:pt>
                <c:pt idx="2">
                  <c:v>전세</c:v>
                </c:pt>
              </c:strCache>
            </c:strRef>
          </c:cat>
          <c:val>
            <c:numRef>
              <c:f>'6.분석결과'!$B$25:$B$27</c:f>
              <c:numCache>
                <c:formatCode>0.000</c:formatCode>
                <c:ptCount val="3"/>
                <c:pt idx="0">
                  <c:v>0.28399999999999997</c:v>
                </c:pt>
                <c:pt idx="1">
                  <c:v>0.22800000000000001</c:v>
                </c:pt>
                <c:pt idx="2">
                  <c:v>0.161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D-435D-BDF3-6D095F936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720759"/>
        <c:axId val="43224966"/>
      </c:barChart>
      <c:catAx>
        <c:axId val="937207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43224966"/>
        <c:crosses val="autoZero"/>
        <c:auto val="1"/>
        <c:lblAlgn val="ctr"/>
        <c:lblOffset val="100"/>
        <c:noMultiLvlLbl val="0"/>
      </c:catAx>
      <c:valAx>
        <c:axId val="432249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937207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19050</xdr:rowOff>
    </xdr:from>
    <xdr:to>
      <xdr:col>16</xdr:col>
      <xdr:colOff>409575</xdr:colOff>
      <xdr:row>15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47625</xdr:colOff>
      <xdr:row>15</xdr:row>
      <xdr:rowOff>266700</xdr:rowOff>
    </xdr:from>
    <xdr:to>
      <xdr:col>16</xdr:col>
      <xdr:colOff>76200</xdr:colOff>
      <xdr:row>22</xdr:row>
      <xdr:rowOff>209550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47625</xdr:colOff>
      <xdr:row>23</xdr:row>
      <xdr:rowOff>10800</xdr:rowOff>
    </xdr:from>
    <xdr:to>
      <xdr:col>16</xdr:col>
      <xdr:colOff>95250</xdr:colOff>
      <xdr:row>30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B42"/>
  <sheetViews>
    <sheetView showGridLines="0" zoomScaleNormal="100" workbookViewId="0">
      <pane ySplit="5" topLeftCell="A24" activePane="bottomLeft" state="frozen"/>
      <selection pane="bottomLeft" activeCell="A34" sqref="A34:B34"/>
    </sheetView>
  </sheetViews>
  <sheetFormatPr defaultColWidth="8.7109375" defaultRowHeight="15"/>
  <cols>
    <col min="1" max="1" width="22" style="1" customWidth="1"/>
    <col min="2" max="2" width="66" style="1" customWidth="1"/>
  </cols>
  <sheetData>
    <row r="2" spans="1:2" ht="42" customHeight="1">
      <c r="A2" s="107" t="s">
        <v>0</v>
      </c>
      <c r="B2" s="107"/>
    </row>
    <row r="3" spans="1:2" ht="24" customHeight="1">
      <c r="A3" s="108" t="s">
        <v>1</v>
      </c>
      <c r="B3" s="108"/>
    </row>
    <row r="4" spans="1:2" ht="18" customHeight="1">
      <c r="A4" s="109" t="s">
        <v>2</v>
      </c>
      <c r="B4" s="109"/>
    </row>
    <row r="6" spans="1:2" ht="21.75" customHeight="1">
      <c r="A6" s="104" t="s">
        <v>3</v>
      </c>
      <c r="B6" s="104"/>
    </row>
    <row r="7" spans="1:2" ht="24" customHeight="1">
      <c r="A7" s="2" t="s">
        <v>4</v>
      </c>
      <c r="B7" s="2" t="s">
        <v>5</v>
      </c>
    </row>
    <row r="8" spans="1:2" ht="19.5" customHeight="1">
      <c r="A8" s="3" t="s">
        <v>6</v>
      </c>
      <c r="B8" s="4" t="s">
        <v>1</v>
      </c>
    </row>
    <row r="9" spans="1:2" ht="19.5" customHeight="1">
      <c r="A9" s="3" t="s">
        <v>7</v>
      </c>
      <c r="B9" s="4" t="s">
        <v>8</v>
      </c>
    </row>
    <row r="10" spans="1:2" ht="19.5" customHeight="1">
      <c r="A10" s="3" t="s">
        <v>9</v>
      </c>
      <c r="B10" s="4" t="s">
        <v>10</v>
      </c>
    </row>
    <row r="11" spans="1:2" ht="19.5" customHeight="1">
      <c r="A11" s="3" t="s">
        <v>11</v>
      </c>
      <c r="B11" s="4" t="s">
        <v>12</v>
      </c>
    </row>
    <row r="12" spans="1:2" ht="19.5" customHeight="1">
      <c r="A12" s="3" t="s">
        <v>13</v>
      </c>
      <c r="B12" s="5" t="s">
        <v>14</v>
      </c>
    </row>
    <row r="13" spans="1:2" ht="19.5" customHeight="1">
      <c r="A13" s="3" t="s">
        <v>15</v>
      </c>
      <c r="B13" s="5" t="s">
        <v>16</v>
      </c>
    </row>
    <row r="14" spans="1:2" ht="19.5" customHeight="1">
      <c r="A14" s="6" t="s">
        <v>17</v>
      </c>
      <c r="B14" s="7">
        <f>B26*B27*B28</f>
        <v>60</v>
      </c>
    </row>
    <row r="15" spans="1:2" ht="19.5" customHeight="1">
      <c r="A15" s="3" t="s">
        <v>18</v>
      </c>
      <c r="B15" s="7">
        <f>B26*B27*B28*B29</f>
        <v>240</v>
      </c>
    </row>
    <row r="16" spans="1:2" ht="19.5" customHeight="1">
      <c r="A16" s="3" t="s">
        <v>19</v>
      </c>
      <c r="B16" s="5" t="s">
        <v>20</v>
      </c>
    </row>
    <row r="17" spans="1:2" ht="19.5" customHeight="1">
      <c r="A17" s="3" t="s">
        <v>21</v>
      </c>
      <c r="B17" s="4" t="s">
        <v>22</v>
      </c>
    </row>
    <row r="18" spans="1:2" ht="19.5" customHeight="1">
      <c r="A18" s="3" t="s">
        <v>23</v>
      </c>
      <c r="B18" s="5" t="s">
        <v>24</v>
      </c>
    </row>
    <row r="19" spans="1:2" ht="19.5" customHeight="1">
      <c r="A19" s="3" t="s">
        <v>25</v>
      </c>
      <c r="B19" s="4" t="s">
        <v>26</v>
      </c>
    </row>
    <row r="20" spans="1:2" ht="19.5" customHeight="1">
      <c r="A20" s="3" t="s">
        <v>27</v>
      </c>
      <c r="B20" s="4" t="s">
        <v>28</v>
      </c>
    </row>
    <row r="21" spans="1:2" ht="19.5" customHeight="1">
      <c r="A21" s="3" t="s">
        <v>29</v>
      </c>
      <c r="B21" s="4" t="s">
        <v>30</v>
      </c>
    </row>
    <row r="22" spans="1:2" ht="31.5" customHeight="1">
      <c r="A22" s="3" t="s">
        <v>31</v>
      </c>
      <c r="B22" s="5" t="s">
        <v>32</v>
      </c>
    </row>
    <row r="24" spans="1:2" ht="21.75" customHeight="1">
      <c r="A24" s="104" t="s">
        <v>33</v>
      </c>
      <c r="B24" s="104"/>
    </row>
    <row r="25" spans="1:2" ht="24" customHeight="1">
      <c r="A25" s="2" t="s">
        <v>34</v>
      </c>
      <c r="B25" s="2" t="s">
        <v>35</v>
      </c>
    </row>
    <row r="26" spans="1:2" ht="15" customHeight="1">
      <c r="A26" s="8" t="s">
        <v>36</v>
      </c>
      <c r="B26" s="9">
        <v>3</v>
      </c>
    </row>
    <row r="27" spans="1:2" ht="15" customHeight="1">
      <c r="A27" s="8" t="s">
        <v>37</v>
      </c>
      <c r="B27" s="9">
        <v>5</v>
      </c>
    </row>
    <row r="28" spans="1:2" ht="15" customHeight="1">
      <c r="A28" s="10" t="s">
        <v>38</v>
      </c>
      <c r="B28" s="9">
        <v>4</v>
      </c>
    </row>
    <row r="29" spans="1:2" ht="15" customHeight="1">
      <c r="A29" s="8" t="s">
        <v>39</v>
      </c>
      <c r="B29" s="9">
        <v>4</v>
      </c>
    </row>
    <row r="31" spans="1:2" ht="21.75" customHeight="1">
      <c r="A31" s="104" t="s">
        <v>40</v>
      </c>
      <c r="B31" s="104"/>
    </row>
    <row r="32" spans="1:2" ht="18" customHeight="1">
      <c r="A32" s="105" t="s">
        <v>41</v>
      </c>
      <c r="B32" s="105"/>
    </row>
    <row r="33" spans="1:2" ht="18" customHeight="1">
      <c r="A33" s="105" t="s">
        <v>42</v>
      </c>
      <c r="B33" s="105"/>
    </row>
    <row r="34" spans="1:2" ht="18" customHeight="1">
      <c r="A34" s="106" t="s">
        <v>43</v>
      </c>
      <c r="B34" s="106"/>
    </row>
    <row r="36" spans="1:2" ht="21.75" customHeight="1">
      <c r="A36" s="104" t="s">
        <v>44</v>
      </c>
      <c r="B36" s="104"/>
    </row>
    <row r="37" spans="1:2" ht="33" customHeight="1">
      <c r="A37" s="103" t="s">
        <v>45</v>
      </c>
      <c r="B37" s="103"/>
    </row>
    <row r="38" spans="1:2" ht="33" customHeight="1">
      <c r="A38" s="102" t="s">
        <v>46</v>
      </c>
      <c r="B38" s="102"/>
    </row>
    <row r="39" spans="1:2" ht="33" customHeight="1">
      <c r="A39" s="102" t="s">
        <v>47</v>
      </c>
      <c r="B39" s="102"/>
    </row>
    <row r="40" spans="1:2" ht="19.5" customHeight="1">
      <c r="A40" s="102" t="s">
        <v>48</v>
      </c>
      <c r="B40" s="102"/>
    </row>
    <row r="41" spans="1:2" ht="33" customHeight="1">
      <c r="A41" s="102" t="s">
        <v>49</v>
      </c>
      <c r="B41" s="102"/>
    </row>
    <row r="42" spans="1:2" ht="19.5" customHeight="1">
      <c r="A42" s="102" t="s">
        <v>50</v>
      </c>
      <c r="B42" s="102"/>
    </row>
  </sheetData>
  <mergeCells count="16">
    <mergeCell ref="A2:B2"/>
    <mergeCell ref="A3:B3"/>
    <mergeCell ref="A4:B4"/>
    <mergeCell ref="A6:B6"/>
    <mergeCell ref="A24:B24"/>
    <mergeCell ref="A31:B31"/>
    <mergeCell ref="A32:B32"/>
    <mergeCell ref="A33:B33"/>
    <mergeCell ref="A34:B34"/>
    <mergeCell ref="A36:B36"/>
    <mergeCell ref="A42:B42"/>
    <mergeCell ref="A37:B37"/>
    <mergeCell ref="A38:B38"/>
    <mergeCell ref="A39:B39"/>
    <mergeCell ref="A40:B40"/>
    <mergeCell ref="A41:B41"/>
  </mergeCells>
  <phoneticPr fontId="51" type="noConversion"/>
  <printOptions horizontalCentered="1"/>
  <pageMargins left="0.3" right="0.3" top="0.4" bottom="0.4" header="0.511811023622047" footer="0.5"/>
  <pageSetup paperSize="9" fitToHeight="0" orientation="landscape" horizontalDpi="300" verticalDpi="300"/>
  <headerFooter>
    <oddFooter>&amp;L&amp;8 2호선 역세권 프로젝트 기획서&amp;R&amp;8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D43"/>
  <sheetViews>
    <sheetView showGridLines="0" zoomScaleNormal="100" workbookViewId="0">
      <pane ySplit="4" topLeftCell="A26" activePane="bottomLeft" state="frozen"/>
      <selection pane="bottomLeft" activeCell="A26" sqref="A26:D26"/>
    </sheetView>
  </sheetViews>
  <sheetFormatPr defaultColWidth="8.7109375" defaultRowHeight="15"/>
  <cols>
    <col min="1" max="1" width="16" style="1" customWidth="1"/>
    <col min="2" max="3" width="34" style="1" customWidth="1"/>
    <col min="4" max="4" width="32" style="1" customWidth="1"/>
  </cols>
  <sheetData>
    <row r="2" spans="1:4" ht="27.75" customHeight="1">
      <c r="A2" s="116" t="s">
        <v>51</v>
      </c>
      <c r="B2" s="116"/>
      <c r="C2" s="116"/>
      <c r="D2" s="116"/>
    </row>
    <row r="3" spans="1:4" ht="15" customHeight="1">
      <c r="A3" s="117" t="s">
        <v>52</v>
      </c>
      <c r="B3" s="117"/>
      <c r="C3" s="117"/>
      <c r="D3" s="117"/>
    </row>
    <row r="5" spans="1:4" ht="21.75" customHeight="1">
      <c r="A5" s="111" t="s">
        <v>53</v>
      </c>
      <c r="B5" s="111"/>
      <c r="C5" s="111"/>
      <c r="D5" s="111"/>
    </row>
    <row r="6" spans="1:4" ht="33" customHeight="1">
      <c r="A6" s="115" t="s">
        <v>54</v>
      </c>
      <c r="B6" s="115"/>
      <c r="C6" s="115"/>
      <c r="D6" s="115"/>
    </row>
    <row r="7" spans="1:4" ht="33" customHeight="1">
      <c r="A7" s="114" t="s">
        <v>55</v>
      </c>
      <c r="B7" s="114"/>
      <c r="C7" s="114"/>
      <c r="D7" s="114"/>
    </row>
    <row r="8" spans="1:4" ht="33" customHeight="1">
      <c r="A8" s="115" t="s">
        <v>56</v>
      </c>
      <c r="B8" s="115"/>
      <c r="C8" s="115"/>
      <c r="D8" s="115"/>
    </row>
    <row r="10" spans="1:4" ht="21.75" customHeight="1">
      <c r="A10" s="111" t="s">
        <v>57</v>
      </c>
      <c r="B10" s="111"/>
      <c r="C10" s="111"/>
      <c r="D10" s="111"/>
    </row>
    <row r="11" spans="1:4" ht="24" customHeight="1">
      <c r="A11" s="2" t="s">
        <v>58</v>
      </c>
      <c r="B11" s="112" t="s">
        <v>5</v>
      </c>
      <c r="C11" s="112"/>
      <c r="D11" s="112"/>
    </row>
    <row r="12" spans="1:4" ht="21.75" customHeight="1">
      <c r="A12" s="8" t="s">
        <v>59</v>
      </c>
      <c r="B12" s="110" t="s">
        <v>60</v>
      </c>
      <c r="C12" s="110"/>
      <c r="D12" s="110"/>
    </row>
    <row r="13" spans="1:4" ht="21.75" customHeight="1">
      <c r="A13" s="8" t="s">
        <v>61</v>
      </c>
      <c r="B13" s="113" t="s">
        <v>62</v>
      </c>
      <c r="C13" s="113"/>
      <c r="D13" s="113"/>
    </row>
    <row r="14" spans="1:4" ht="21.75" customHeight="1">
      <c r="A14" s="8" t="s">
        <v>23</v>
      </c>
      <c r="B14" s="113" t="s">
        <v>63</v>
      </c>
      <c r="C14" s="113"/>
      <c r="D14" s="113"/>
    </row>
    <row r="15" spans="1:4" ht="21.75" customHeight="1">
      <c r="A15" s="8" t="s">
        <v>64</v>
      </c>
      <c r="B15" s="110" t="s">
        <v>65</v>
      </c>
      <c r="C15" s="110"/>
      <c r="D15" s="110"/>
    </row>
    <row r="16" spans="1:4" ht="21.75" customHeight="1">
      <c r="A16" s="8" t="s">
        <v>27</v>
      </c>
      <c r="B16" s="110" t="s">
        <v>66</v>
      </c>
      <c r="C16" s="110"/>
      <c r="D16" s="110"/>
    </row>
    <row r="17" spans="1:4" ht="21.75" customHeight="1">
      <c r="A17" s="8" t="s">
        <v>67</v>
      </c>
      <c r="B17" s="113" t="s">
        <v>68</v>
      </c>
      <c r="C17" s="113"/>
      <c r="D17" s="113"/>
    </row>
    <row r="18" spans="1:4" ht="21.75" customHeight="1">
      <c r="A18" s="8" t="s">
        <v>69</v>
      </c>
      <c r="B18" s="110" t="s">
        <v>70</v>
      </c>
      <c r="C18" s="110"/>
      <c r="D18" s="110"/>
    </row>
    <row r="19" spans="1:4" ht="21.75" customHeight="1">
      <c r="A19" s="8" t="s">
        <v>71</v>
      </c>
      <c r="B19" s="110" t="s">
        <v>72</v>
      </c>
      <c r="C19" s="110"/>
      <c r="D19" s="110"/>
    </row>
    <row r="21" spans="1:4" ht="21.75" customHeight="1">
      <c r="A21" s="111" t="s">
        <v>73</v>
      </c>
      <c r="B21" s="111"/>
      <c r="C21" s="111"/>
      <c r="D21" s="111"/>
    </row>
    <row r="22" spans="1:4" ht="18" customHeight="1">
      <c r="A22" s="115" t="s">
        <v>74</v>
      </c>
      <c r="B22" s="115"/>
      <c r="C22" s="115"/>
      <c r="D22" s="115"/>
    </row>
    <row r="23" spans="1:4" ht="18" customHeight="1">
      <c r="A23" s="115" t="s">
        <v>75</v>
      </c>
      <c r="B23" s="115"/>
      <c r="C23" s="115"/>
      <c r="D23" s="115"/>
    </row>
    <row r="24" spans="1:4" ht="33" customHeight="1">
      <c r="A24" s="115" t="s">
        <v>76</v>
      </c>
      <c r="B24" s="115"/>
      <c r="C24" s="115"/>
      <c r="D24" s="115"/>
    </row>
    <row r="25" spans="1:4" ht="33" customHeight="1">
      <c r="A25" s="114" t="s">
        <v>77</v>
      </c>
      <c r="B25" s="114"/>
      <c r="C25" s="114"/>
      <c r="D25" s="114"/>
    </row>
    <row r="26" spans="1:4" ht="33" customHeight="1">
      <c r="A26" s="115" t="s">
        <v>78</v>
      </c>
      <c r="B26" s="115"/>
      <c r="C26" s="115"/>
      <c r="D26" s="115"/>
    </row>
    <row r="28" spans="1:4" ht="21.75" customHeight="1">
      <c r="A28" s="111" t="s">
        <v>79</v>
      </c>
      <c r="B28" s="111"/>
      <c r="C28" s="111"/>
      <c r="D28" s="111"/>
    </row>
    <row r="29" spans="1:4" ht="24" customHeight="1">
      <c r="A29" s="11" t="s">
        <v>80</v>
      </c>
      <c r="B29" s="112" t="s">
        <v>81</v>
      </c>
      <c r="C29" s="112"/>
      <c r="D29" s="112"/>
    </row>
    <row r="30" spans="1:4" ht="19.5" customHeight="1">
      <c r="A30" s="12">
        <v>1</v>
      </c>
      <c r="B30" s="110" t="s">
        <v>82</v>
      </c>
      <c r="C30" s="110"/>
      <c r="D30" s="110"/>
    </row>
    <row r="31" spans="1:4" ht="19.5" customHeight="1">
      <c r="A31" s="12">
        <v>2</v>
      </c>
      <c r="B31" s="110" t="s">
        <v>83</v>
      </c>
      <c r="C31" s="110"/>
      <c r="D31" s="110"/>
    </row>
    <row r="32" spans="1:4" ht="19.5" customHeight="1">
      <c r="A32" s="12">
        <v>3</v>
      </c>
      <c r="B32" s="110" t="s">
        <v>84</v>
      </c>
      <c r="C32" s="110"/>
      <c r="D32" s="110"/>
    </row>
    <row r="33" spans="1:4" ht="19.5" customHeight="1">
      <c r="A33" s="12">
        <v>4</v>
      </c>
      <c r="B33" s="110" t="s">
        <v>85</v>
      </c>
      <c r="C33" s="110"/>
      <c r="D33" s="110"/>
    </row>
    <row r="34" spans="1:4" ht="19.5" customHeight="1">
      <c r="A34" s="12">
        <v>5</v>
      </c>
      <c r="B34" s="110" t="s">
        <v>86</v>
      </c>
      <c r="C34" s="110"/>
      <c r="D34" s="110"/>
    </row>
    <row r="35" spans="1:4" ht="19.5" customHeight="1">
      <c r="A35" s="12">
        <v>6</v>
      </c>
      <c r="B35" s="110" t="s">
        <v>87</v>
      </c>
      <c r="C35" s="110"/>
      <c r="D35" s="110"/>
    </row>
    <row r="37" spans="1:4" ht="21.75" customHeight="1">
      <c r="A37" s="111" t="s">
        <v>88</v>
      </c>
      <c r="B37" s="111"/>
      <c r="C37" s="111"/>
      <c r="D37" s="111"/>
    </row>
    <row r="38" spans="1:4" ht="24" customHeight="1">
      <c r="A38" s="11" t="s">
        <v>80</v>
      </c>
      <c r="B38" s="112" t="s">
        <v>89</v>
      </c>
      <c r="C38" s="112"/>
      <c r="D38" s="112"/>
    </row>
    <row r="39" spans="1:4" ht="19.5" customHeight="1">
      <c r="A39" s="13" t="s">
        <v>90</v>
      </c>
      <c r="B39" s="110" t="s">
        <v>91</v>
      </c>
      <c r="C39" s="110"/>
      <c r="D39" s="110"/>
    </row>
    <row r="40" spans="1:4" ht="19.5" customHeight="1">
      <c r="A40" s="13" t="s">
        <v>92</v>
      </c>
      <c r="B40" s="113" t="s">
        <v>93</v>
      </c>
      <c r="C40" s="113"/>
      <c r="D40" s="113"/>
    </row>
    <row r="41" spans="1:4" ht="19.5" customHeight="1">
      <c r="A41" s="13" t="s">
        <v>94</v>
      </c>
      <c r="B41" s="110" t="s">
        <v>95</v>
      </c>
      <c r="C41" s="110"/>
      <c r="D41" s="110"/>
    </row>
    <row r="42" spans="1:4" ht="33" customHeight="1">
      <c r="A42" s="13" t="s">
        <v>96</v>
      </c>
      <c r="B42" s="110" t="s">
        <v>97</v>
      </c>
      <c r="C42" s="110"/>
      <c r="D42" s="110"/>
    </row>
    <row r="43" spans="1:4" ht="19.5" customHeight="1">
      <c r="A43" s="13" t="s">
        <v>98</v>
      </c>
      <c r="B43" s="110" t="s">
        <v>99</v>
      </c>
      <c r="C43" s="110"/>
      <c r="D43" s="110"/>
    </row>
  </sheetData>
  <mergeCells count="37">
    <mergeCell ref="A2:D2"/>
    <mergeCell ref="A3:D3"/>
    <mergeCell ref="A5:D5"/>
    <mergeCell ref="A6:D6"/>
    <mergeCell ref="A7:D7"/>
    <mergeCell ref="A8:D8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A21:D21"/>
    <mergeCell ref="A22:D22"/>
    <mergeCell ref="A23:D23"/>
    <mergeCell ref="A24:D24"/>
    <mergeCell ref="A25:D25"/>
    <mergeCell ref="A26:D26"/>
    <mergeCell ref="A28:D28"/>
    <mergeCell ref="B29:D29"/>
    <mergeCell ref="B30:D30"/>
    <mergeCell ref="B31:D31"/>
    <mergeCell ref="B32:D32"/>
    <mergeCell ref="B33:D33"/>
    <mergeCell ref="B34:D34"/>
    <mergeCell ref="B35:D35"/>
    <mergeCell ref="B42:D42"/>
    <mergeCell ref="B43:D43"/>
    <mergeCell ref="A37:D37"/>
    <mergeCell ref="B38:D38"/>
    <mergeCell ref="B39:D39"/>
    <mergeCell ref="B40:D40"/>
    <mergeCell ref="B41:D41"/>
  </mergeCells>
  <phoneticPr fontId="51" type="noConversion"/>
  <printOptions horizontalCentered="1"/>
  <pageMargins left="0.3" right="0.3" top="0.4" bottom="0.4" header="0.511811023622047" footer="0.5"/>
  <pageSetup paperSize="9" fitToHeight="0" orientation="landscape" horizontalDpi="300" verticalDpi="300"/>
  <headerFooter>
    <oddFooter>&amp;L&amp;8 2호선 역세권 프로젝트 기획서&amp;R&amp;8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E22"/>
  <sheetViews>
    <sheetView showGridLines="0" zoomScaleNormal="100" workbookViewId="0">
      <pane ySplit="4" topLeftCell="A14" activePane="bottomLeft" state="frozen"/>
      <selection pane="bottomLeft"/>
    </sheetView>
  </sheetViews>
  <sheetFormatPr defaultColWidth="8.7109375" defaultRowHeight="15"/>
  <cols>
    <col min="1" max="1" width="6" style="1" customWidth="1"/>
    <col min="2" max="2" width="26" style="1" customWidth="1"/>
    <col min="3" max="3" width="38" style="1" customWidth="1"/>
    <col min="4" max="4" width="34" style="1" customWidth="1"/>
    <col min="5" max="5" width="16" style="1" customWidth="1"/>
  </cols>
  <sheetData>
    <row r="2" spans="1:5" ht="27.75" customHeight="1">
      <c r="A2" s="116" t="s">
        <v>100</v>
      </c>
      <c r="B2" s="116"/>
      <c r="C2" s="116"/>
      <c r="D2" s="116"/>
      <c r="E2" s="116"/>
    </row>
    <row r="3" spans="1:5" ht="15" customHeight="1">
      <c r="A3" s="119" t="s">
        <v>101</v>
      </c>
      <c r="B3" s="119"/>
      <c r="C3" s="119"/>
      <c r="D3" s="119"/>
      <c r="E3" s="119"/>
    </row>
    <row r="5" spans="1:5" ht="24" customHeight="1">
      <c r="A5" s="11" t="s">
        <v>80</v>
      </c>
      <c r="B5" s="11" t="s">
        <v>102</v>
      </c>
      <c r="C5" s="2" t="s">
        <v>103</v>
      </c>
      <c r="D5" s="2" t="s">
        <v>104</v>
      </c>
      <c r="E5" s="2" t="s">
        <v>105</v>
      </c>
    </row>
    <row r="6" spans="1:5" ht="24" customHeight="1">
      <c r="A6" s="14">
        <v>1</v>
      </c>
      <c r="B6" s="4" t="s">
        <v>106</v>
      </c>
      <c r="C6" s="4" t="s">
        <v>107</v>
      </c>
      <c r="D6" s="5" t="s">
        <v>108</v>
      </c>
      <c r="E6" s="15" t="s">
        <v>109</v>
      </c>
    </row>
    <row r="7" spans="1:5" ht="24" customHeight="1">
      <c r="A7" s="15">
        <v>2</v>
      </c>
      <c r="B7" s="4" t="s">
        <v>110</v>
      </c>
      <c r="C7" s="4" t="s">
        <v>111</v>
      </c>
      <c r="D7" s="5" t="s">
        <v>112</v>
      </c>
      <c r="E7" s="15" t="s">
        <v>113</v>
      </c>
    </row>
    <row r="8" spans="1:5" ht="24" customHeight="1">
      <c r="A8" s="15">
        <v>3</v>
      </c>
      <c r="B8" s="4" t="s">
        <v>114</v>
      </c>
      <c r="C8" s="4" t="s">
        <v>115</v>
      </c>
      <c r="D8" s="5" t="s">
        <v>116</v>
      </c>
      <c r="E8" s="14" t="s">
        <v>117</v>
      </c>
    </row>
    <row r="9" spans="1:5" ht="24" customHeight="1">
      <c r="A9" s="15">
        <v>4</v>
      </c>
      <c r="B9" s="4" t="s">
        <v>118</v>
      </c>
      <c r="C9" s="4" t="s">
        <v>119</v>
      </c>
      <c r="D9" s="5" t="s">
        <v>116</v>
      </c>
      <c r="E9" s="14" t="s">
        <v>117</v>
      </c>
    </row>
    <row r="10" spans="1:5" ht="24" customHeight="1">
      <c r="A10" s="15">
        <v>5</v>
      </c>
      <c r="B10" s="4" t="s">
        <v>120</v>
      </c>
      <c r="C10" s="4" t="s">
        <v>121</v>
      </c>
      <c r="D10" s="5" t="s">
        <v>122</v>
      </c>
      <c r="E10" s="14" t="s">
        <v>123</v>
      </c>
    </row>
    <row r="12" spans="1:5" ht="18" customHeight="1">
      <c r="A12" s="120" t="s">
        <v>124</v>
      </c>
      <c r="B12" s="120"/>
      <c r="C12" s="120"/>
      <c r="D12" s="120"/>
      <c r="E12" s="120"/>
    </row>
    <row r="13" spans="1:5" ht="33" customHeight="1">
      <c r="A13" s="121" t="s">
        <v>125</v>
      </c>
      <c r="B13" s="121"/>
      <c r="C13" s="121"/>
      <c r="D13" s="121"/>
      <c r="E13" s="121"/>
    </row>
    <row r="15" spans="1:5" ht="21.75" customHeight="1">
      <c r="A15" s="111" t="s">
        <v>126</v>
      </c>
      <c r="B15" s="111"/>
      <c r="C15" s="111"/>
      <c r="D15" s="111"/>
      <c r="E15" s="111"/>
    </row>
    <row r="16" spans="1:5" ht="24" customHeight="1">
      <c r="A16" s="11" t="s">
        <v>80</v>
      </c>
      <c r="B16" s="11" t="s">
        <v>102</v>
      </c>
      <c r="C16" s="2" t="s">
        <v>127</v>
      </c>
      <c r="D16" s="2" t="s">
        <v>128</v>
      </c>
      <c r="E16" s="2" t="s">
        <v>129</v>
      </c>
    </row>
    <row r="17" spans="1:5" ht="45.75" customHeight="1">
      <c r="A17" s="16">
        <v>1</v>
      </c>
      <c r="B17" s="17" t="s">
        <v>106</v>
      </c>
      <c r="C17" s="18" t="s">
        <v>130</v>
      </c>
      <c r="D17" s="18" t="s">
        <v>131</v>
      </c>
      <c r="E17" s="19" t="s">
        <v>132</v>
      </c>
    </row>
    <row r="18" spans="1:5" ht="45.75" customHeight="1">
      <c r="A18" s="16">
        <v>2</v>
      </c>
      <c r="B18" s="17" t="s">
        <v>110</v>
      </c>
      <c r="C18" s="18" t="s">
        <v>133</v>
      </c>
      <c r="D18" s="18" t="s">
        <v>134</v>
      </c>
      <c r="E18" s="19" t="s">
        <v>135</v>
      </c>
    </row>
    <row r="19" spans="1:5" ht="45.75" customHeight="1">
      <c r="A19" s="16">
        <v>3</v>
      </c>
      <c r="B19" s="17" t="s">
        <v>114</v>
      </c>
      <c r="C19" s="18" t="s">
        <v>136</v>
      </c>
      <c r="D19" s="18" t="s">
        <v>137</v>
      </c>
      <c r="E19" s="19" t="s">
        <v>138</v>
      </c>
    </row>
    <row r="20" spans="1:5" ht="45.75" customHeight="1">
      <c r="A20" s="16">
        <v>4</v>
      </c>
      <c r="B20" s="17" t="s">
        <v>118</v>
      </c>
      <c r="C20" s="18" t="s">
        <v>139</v>
      </c>
      <c r="D20" s="18" t="s">
        <v>140</v>
      </c>
      <c r="E20" s="19" t="s">
        <v>138</v>
      </c>
    </row>
    <row r="21" spans="1:5" ht="45.75" customHeight="1">
      <c r="A21" s="16">
        <v>5</v>
      </c>
      <c r="B21" s="17" t="s">
        <v>120</v>
      </c>
      <c r="C21" s="18" t="s">
        <v>141</v>
      </c>
      <c r="D21" s="20" t="s">
        <v>142</v>
      </c>
      <c r="E21" s="19" t="s">
        <v>143</v>
      </c>
    </row>
    <row r="22" spans="1:5" ht="18" customHeight="1">
      <c r="A22" s="118" t="s">
        <v>144</v>
      </c>
      <c r="B22" s="118"/>
      <c r="C22" s="118"/>
      <c r="D22" s="118"/>
      <c r="E22" s="118"/>
    </row>
  </sheetData>
  <mergeCells count="6">
    <mergeCell ref="A22:E22"/>
    <mergeCell ref="A2:E2"/>
    <mergeCell ref="A3:E3"/>
    <mergeCell ref="A12:E12"/>
    <mergeCell ref="A13:E13"/>
    <mergeCell ref="A15:E15"/>
  </mergeCells>
  <phoneticPr fontId="51" type="noConversion"/>
  <dataValidations count="1">
    <dataValidation type="list" allowBlank="1" sqref="E17:E21">
      <formula1>"김경혜,김주영,박경필,전정재,팀 전원"</formula1>
      <formula2>0</formula2>
    </dataValidation>
  </dataValidations>
  <printOptions horizontalCentered="1"/>
  <pageMargins left="0.3" right="0.3" top="0.4" bottom="0.4" header="0.511811023622047" footer="0.5"/>
  <pageSetup paperSize="9" fitToHeight="0" orientation="landscape" horizontalDpi="300" verticalDpi="300"/>
  <headerFooter>
    <oddFooter>&amp;L&amp;8 2호선 역세권 프로젝트 기획서&amp;R&amp;8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F35"/>
  <sheetViews>
    <sheetView showGridLines="0" zoomScaleNormal="100" workbookViewId="0">
      <pane ySplit="4" topLeftCell="A5" activePane="bottomLeft" state="frozen"/>
      <selection pane="bottomLeft" activeCell="B11" sqref="B11"/>
    </sheetView>
  </sheetViews>
  <sheetFormatPr defaultColWidth="8.7109375" defaultRowHeight="15"/>
  <cols>
    <col min="1" max="1" width="13.42578125" style="1" customWidth="1"/>
    <col min="2" max="2" width="28" style="1" customWidth="1"/>
    <col min="3" max="3" width="32.5703125" style="1" bestFit="1" customWidth="1"/>
    <col min="4" max="4" width="34" style="1" customWidth="1"/>
    <col min="5" max="5" width="14" style="1" customWidth="1"/>
    <col min="6" max="6" width="18" style="1" customWidth="1"/>
  </cols>
  <sheetData>
    <row r="2" spans="1:6" ht="27.75" customHeight="1">
      <c r="A2" s="116" t="s">
        <v>145</v>
      </c>
      <c r="B2" s="116"/>
      <c r="C2" s="116"/>
      <c r="D2" s="116"/>
      <c r="E2" s="116"/>
      <c r="F2" s="116"/>
    </row>
    <row r="3" spans="1:6" ht="18" customHeight="1">
      <c r="A3" s="117" t="s">
        <v>146</v>
      </c>
      <c r="B3" s="117"/>
      <c r="C3" s="117"/>
      <c r="D3" s="117"/>
      <c r="E3" s="117"/>
      <c r="F3" s="117"/>
    </row>
    <row r="5" spans="1:6" ht="21.75" customHeight="1">
      <c r="A5" s="111" t="s">
        <v>147</v>
      </c>
      <c r="B5" s="111"/>
      <c r="C5" s="111"/>
      <c r="D5" s="111"/>
      <c r="E5" s="111"/>
      <c r="F5" s="111"/>
    </row>
    <row r="6" spans="1:6" ht="24" customHeight="1">
      <c r="A6" s="11" t="s">
        <v>80</v>
      </c>
      <c r="B6" s="2" t="s">
        <v>148</v>
      </c>
      <c r="C6" s="2" t="s">
        <v>149</v>
      </c>
      <c r="D6" s="2" t="s">
        <v>150</v>
      </c>
      <c r="E6" s="2" t="s">
        <v>151</v>
      </c>
      <c r="F6" s="2" t="s">
        <v>152</v>
      </c>
    </row>
    <row r="7" spans="1:6" ht="25.5">
      <c r="A7" s="15">
        <v>1</v>
      </c>
      <c r="B7" s="4" t="s">
        <v>153</v>
      </c>
      <c r="C7" s="4" t="s">
        <v>154</v>
      </c>
      <c r="D7" s="4" t="s">
        <v>155</v>
      </c>
      <c r="E7" s="14" t="s">
        <v>156</v>
      </c>
      <c r="F7" s="15" t="s">
        <v>157</v>
      </c>
    </row>
    <row r="8" spans="1:6" ht="21.75" customHeight="1">
      <c r="A8" s="15">
        <v>2</v>
      </c>
      <c r="B8" s="4" t="s">
        <v>158</v>
      </c>
      <c r="C8" s="4" t="s">
        <v>159</v>
      </c>
      <c r="D8" s="4" t="s">
        <v>160</v>
      </c>
      <c r="E8" s="14" t="s">
        <v>161</v>
      </c>
      <c r="F8" s="15" t="s">
        <v>157</v>
      </c>
    </row>
    <row r="9" spans="1:6" ht="21.75" customHeight="1">
      <c r="A9" s="15">
        <v>3</v>
      </c>
      <c r="B9" s="4" t="s">
        <v>162</v>
      </c>
      <c r="C9" s="4" t="s">
        <v>159</v>
      </c>
      <c r="D9" s="4" t="s">
        <v>163</v>
      </c>
      <c r="E9" s="14" t="s">
        <v>161</v>
      </c>
      <c r="F9" s="15" t="s">
        <v>157</v>
      </c>
    </row>
    <row r="10" spans="1:6" ht="21.75" customHeight="1">
      <c r="A10" s="15">
        <v>4</v>
      </c>
      <c r="B10" s="4" t="s">
        <v>164</v>
      </c>
      <c r="C10" s="4" t="s">
        <v>159</v>
      </c>
      <c r="D10" s="4" t="s">
        <v>165</v>
      </c>
      <c r="E10" s="14" t="s">
        <v>161</v>
      </c>
      <c r="F10" s="15" t="s">
        <v>157</v>
      </c>
    </row>
    <row r="11" spans="1:6" ht="21.75" customHeight="1">
      <c r="A11" s="15">
        <v>5</v>
      </c>
      <c r="B11" s="4" t="s">
        <v>166</v>
      </c>
      <c r="C11" s="4" t="s">
        <v>159</v>
      </c>
      <c r="D11" s="4" t="s">
        <v>167</v>
      </c>
      <c r="E11" s="14" t="s">
        <v>161</v>
      </c>
      <c r="F11" s="15" t="s">
        <v>157</v>
      </c>
    </row>
    <row r="13" spans="1:6" ht="21.75" customHeight="1">
      <c r="A13" s="111" t="s">
        <v>168</v>
      </c>
      <c r="B13" s="111"/>
      <c r="C13" s="111"/>
      <c r="D13" s="111"/>
      <c r="E13" s="111"/>
      <c r="F13" s="111"/>
    </row>
    <row r="14" spans="1:6" ht="18" customHeight="1">
      <c r="A14" s="114" t="s">
        <v>169</v>
      </c>
      <c r="B14" s="114"/>
      <c r="C14" s="114"/>
      <c r="D14" s="114"/>
      <c r="E14" s="114"/>
      <c r="F14" s="114"/>
    </row>
    <row r="15" spans="1:6" ht="18" customHeight="1">
      <c r="A15" s="114" t="s">
        <v>170</v>
      </c>
      <c r="B15" s="114"/>
      <c r="C15" s="114"/>
      <c r="D15" s="114"/>
      <c r="E15" s="114"/>
      <c r="F15" s="114"/>
    </row>
    <row r="16" spans="1:6" ht="18" customHeight="1">
      <c r="A16" s="114" t="s">
        <v>171</v>
      </c>
      <c r="B16" s="114"/>
      <c r="C16" s="114"/>
      <c r="D16" s="114"/>
      <c r="E16" s="114"/>
      <c r="F16" s="114"/>
    </row>
    <row r="17" spans="1:6" ht="18" customHeight="1">
      <c r="A17" s="114" t="s">
        <v>172</v>
      </c>
      <c r="B17" s="114"/>
      <c r="C17" s="114"/>
      <c r="D17" s="114"/>
      <c r="E17" s="114"/>
      <c r="F17" s="114"/>
    </row>
    <row r="19" spans="1:6" ht="21.75" customHeight="1">
      <c r="A19" s="111" t="s">
        <v>173</v>
      </c>
      <c r="B19" s="111"/>
      <c r="C19" s="111"/>
      <c r="D19" s="111"/>
      <c r="E19" s="111"/>
      <c r="F19" s="111"/>
    </row>
    <row r="20" spans="1:6" ht="19.5" customHeight="1">
      <c r="A20" s="21" t="s">
        <v>174</v>
      </c>
      <c r="B20" s="21" t="s">
        <v>175</v>
      </c>
      <c r="C20" s="21" t="s">
        <v>176</v>
      </c>
      <c r="D20" s="21" t="s">
        <v>177</v>
      </c>
      <c r="E20" s="21" t="s">
        <v>178</v>
      </c>
      <c r="F20" s="21" t="s">
        <v>179</v>
      </c>
    </row>
    <row r="21" spans="1:6" ht="19.5" customHeight="1">
      <c r="A21" s="21" t="s">
        <v>180</v>
      </c>
      <c r="B21" s="21" t="s">
        <v>181</v>
      </c>
      <c r="C21" s="21" t="s">
        <v>182</v>
      </c>
      <c r="D21" s="21" t="s">
        <v>183</v>
      </c>
      <c r="E21" s="21" t="s">
        <v>184</v>
      </c>
      <c r="F21" s="21" t="s">
        <v>185</v>
      </c>
    </row>
    <row r="22" spans="1:6" ht="19.5" customHeight="1">
      <c r="A22" s="21" t="s">
        <v>186</v>
      </c>
      <c r="B22" s="21" t="s">
        <v>187</v>
      </c>
      <c r="C22" s="21" t="s">
        <v>188</v>
      </c>
      <c r="D22" s="21" t="s">
        <v>189</v>
      </c>
      <c r="E22" s="21" t="s">
        <v>190</v>
      </c>
      <c r="F22" s="21" t="s">
        <v>191</v>
      </c>
    </row>
    <row r="23" spans="1:6" ht="19.5" customHeight="1">
      <c r="A23" s="21" t="s">
        <v>192</v>
      </c>
      <c r="B23" s="21" t="s">
        <v>193</v>
      </c>
      <c r="C23" s="21" t="s">
        <v>194</v>
      </c>
      <c r="D23" s="21" t="s">
        <v>195</v>
      </c>
      <c r="E23" s="21" t="s">
        <v>196</v>
      </c>
      <c r="F23" s="21" t="s">
        <v>197</v>
      </c>
    </row>
    <row r="24" spans="1:6" ht="19.5" customHeight="1">
      <c r="A24" s="21" t="s">
        <v>198</v>
      </c>
      <c r="B24" s="21" t="s">
        <v>199</v>
      </c>
      <c r="C24" s="21" t="s">
        <v>200</v>
      </c>
      <c r="D24" s="21" t="s">
        <v>201</v>
      </c>
      <c r="E24" s="21" t="s">
        <v>202</v>
      </c>
      <c r="F24" s="21" t="s">
        <v>203</v>
      </c>
    </row>
    <row r="25" spans="1:6" ht="19.5" customHeight="1">
      <c r="A25" s="21" t="s">
        <v>204</v>
      </c>
      <c r="B25" s="21" t="s">
        <v>205</v>
      </c>
      <c r="C25" s="21" t="s">
        <v>206</v>
      </c>
    </row>
    <row r="26" spans="1:6" ht="18" customHeight="1">
      <c r="A26" s="105" t="s">
        <v>207</v>
      </c>
      <c r="B26" s="105"/>
      <c r="C26" s="105"/>
      <c r="D26" s="105"/>
      <c r="E26" s="105"/>
      <c r="F26" s="105"/>
    </row>
    <row r="28" spans="1:6" ht="21.75" customHeight="1">
      <c r="A28" s="111" t="s">
        <v>208</v>
      </c>
      <c r="B28" s="111"/>
      <c r="C28" s="111"/>
      <c r="D28" s="111"/>
      <c r="E28" s="111"/>
      <c r="F28" s="111"/>
    </row>
    <row r="29" spans="1:6" ht="24" customHeight="1">
      <c r="A29" s="112" t="s">
        <v>209</v>
      </c>
      <c r="B29" s="112"/>
      <c r="C29" s="112" t="s">
        <v>210</v>
      </c>
      <c r="D29" s="112"/>
      <c r="E29" s="112"/>
      <c r="F29" s="112"/>
    </row>
    <row r="30" spans="1:6" ht="19.5" customHeight="1">
      <c r="A30" s="122" t="s">
        <v>211</v>
      </c>
      <c r="B30" s="122"/>
      <c r="C30" s="123" t="s">
        <v>212</v>
      </c>
      <c r="D30" s="123"/>
      <c r="E30" s="123"/>
      <c r="F30" s="123"/>
    </row>
    <row r="31" spans="1:6" ht="19.5" customHeight="1">
      <c r="A31" s="122" t="s">
        <v>213</v>
      </c>
      <c r="B31" s="122"/>
      <c r="C31" s="124" t="s">
        <v>214</v>
      </c>
      <c r="D31" s="124"/>
      <c r="E31" s="124"/>
      <c r="F31" s="124"/>
    </row>
    <row r="32" spans="1:6" ht="19.5" customHeight="1">
      <c r="A32" s="122" t="s">
        <v>215</v>
      </c>
      <c r="B32" s="122"/>
      <c r="C32" s="123" t="s">
        <v>216</v>
      </c>
      <c r="D32" s="123"/>
      <c r="E32" s="123"/>
      <c r="F32" s="123"/>
    </row>
    <row r="33" spans="1:6" ht="19.5" customHeight="1">
      <c r="A33" s="122" t="s">
        <v>217</v>
      </c>
      <c r="B33" s="122"/>
      <c r="C33" s="123" t="s">
        <v>218</v>
      </c>
      <c r="D33" s="123"/>
      <c r="E33" s="123"/>
      <c r="F33" s="123"/>
    </row>
    <row r="34" spans="1:6" ht="19.5" customHeight="1">
      <c r="A34" s="122" t="s">
        <v>219</v>
      </c>
      <c r="B34" s="122"/>
      <c r="C34" s="123" t="s">
        <v>220</v>
      </c>
      <c r="D34" s="123"/>
      <c r="E34" s="123"/>
      <c r="F34" s="123"/>
    </row>
    <row r="35" spans="1:6" ht="19.5" customHeight="1">
      <c r="A35" s="122" t="s">
        <v>787</v>
      </c>
      <c r="B35" s="122"/>
      <c r="C35" s="124" t="s">
        <v>221</v>
      </c>
      <c r="D35" s="124"/>
      <c r="E35" s="124"/>
      <c r="F35" s="124"/>
    </row>
  </sheetData>
  <mergeCells count="25">
    <mergeCell ref="A2:F2"/>
    <mergeCell ref="A3:F3"/>
    <mergeCell ref="A5:F5"/>
    <mergeCell ref="A13:F13"/>
    <mergeCell ref="A14:F14"/>
    <mergeCell ref="A15:F15"/>
    <mergeCell ref="A16:F16"/>
    <mergeCell ref="A17:F17"/>
    <mergeCell ref="A19:F19"/>
    <mergeCell ref="A26:F26"/>
    <mergeCell ref="A28:F28"/>
    <mergeCell ref="A29:B29"/>
    <mergeCell ref="C29:F29"/>
    <mergeCell ref="A30:B30"/>
    <mergeCell ref="C30:F30"/>
    <mergeCell ref="A34:B34"/>
    <mergeCell ref="C34:F34"/>
    <mergeCell ref="A35:B35"/>
    <mergeCell ref="C35:F35"/>
    <mergeCell ref="A31:B31"/>
    <mergeCell ref="C31:F31"/>
    <mergeCell ref="A32:B32"/>
    <mergeCell ref="C32:F32"/>
    <mergeCell ref="A33:B33"/>
    <mergeCell ref="C33:F33"/>
  </mergeCells>
  <phoneticPr fontId="51" type="noConversion"/>
  <printOptions horizontalCentered="1"/>
  <pageMargins left="0.3" right="0.3" top="0.4" bottom="0.4" header="0.511811023622047" footer="0.5"/>
  <pageSetup paperSize="9" fitToHeight="0" orientation="landscape" horizontalDpi="300" verticalDpi="300"/>
  <headerFooter>
    <oddFooter>&amp;L&amp;8 2호선 역세권 프로젝트 기획서&amp;R&amp;8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D4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6" style="1" customWidth="1"/>
    <col min="2" max="2" width="30" style="1" customWidth="1"/>
    <col min="3" max="3" width="52" style="1" customWidth="1"/>
    <col min="4" max="4" width="30" style="1" customWidth="1"/>
  </cols>
  <sheetData>
    <row r="2" spans="1:4" ht="27.75" customHeight="1">
      <c r="A2" s="116" t="s">
        <v>222</v>
      </c>
      <c r="B2" s="116"/>
      <c r="C2" s="116"/>
      <c r="D2" s="116"/>
    </row>
    <row r="3" spans="1:4" ht="15" customHeight="1">
      <c r="A3" s="117" t="s">
        <v>223</v>
      </c>
      <c r="B3" s="117"/>
      <c r="C3" s="117"/>
      <c r="D3" s="117"/>
    </row>
    <row r="5" spans="1:4" ht="21.75" customHeight="1">
      <c r="A5" s="111" t="s">
        <v>224</v>
      </c>
      <c r="B5" s="111"/>
      <c r="C5" s="111"/>
      <c r="D5" s="111"/>
    </row>
    <row r="6" spans="1:4" ht="24" customHeight="1">
      <c r="A6" s="11" t="s">
        <v>80</v>
      </c>
      <c r="B6" s="2" t="s">
        <v>225</v>
      </c>
      <c r="C6" s="2" t="s">
        <v>5</v>
      </c>
      <c r="D6" s="2" t="s">
        <v>226</v>
      </c>
    </row>
    <row r="7" spans="1:4" ht="21.75" customHeight="1">
      <c r="A7" s="15">
        <v>1</v>
      </c>
      <c r="B7" s="4" t="s">
        <v>227</v>
      </c>
      <c r="C7" s="5" t="s">
        <v>228</v>
      </c>
      <c r="D7" s="15" t="s">
        <v>229</v>
      </c>
    </row>
    <row r="8" spans="1:4" ht="21.75" customHeight="1">
      <c r="A8" s="15">
        <v>2</v>
      </c>
      <c r="B8" s="4" t="s">
        <v>230</v>
      </c>
      <c r="C8" s="4" t="s">
        <v>231</v>
      </c>
      <c r="D8" s="14" t="s">
        <v>232</v>
      </c>
    </row>
    <row r="9" spans="1:4" ht="21.75" customHeight="1">
      <c r="A9" s="15">
        <v>3</v>
      </c>
      <c r="B9" s="5" t="s">
        <v>233</v>
      </c>
      <c r="C9" s="4" t="s">
        <v>234</v>
      </c>
      <c r="D9" s="14" t="s">
        <v>235</v>
      </c>
    </row>
    <row r="10" spans="1:4" ht="21.75" customHeight="1">
      <c r="A10" s="15">
        <v>4</v>
      </c>
      <c r="B10" s="4" t="s">
        <v>236</v>
      </c>
      <c r="C10" s="5" t="s">
        <v>237</v>
      </c>
      <c r="D10" s="14" t="s">
        <v>238</v>
      </c>
    </row>
    <row r="11" spans="1:4" ht="21.75" customHeight="1">
      <c r="A11" s="15">
        <v>5</v>
      </c>
      <c r="B11" s="4" t="s">
        <v>239</v>
      </c>
      <c r="C11" s="4" t="s">
        <v>240</v>
      </c>
      <c r="D11" s="15" t="s">
        <v>241</v>
      </c>
    </row>
    <row r="12" spans="1:4" ht="21.75" customHeight="1">
      <c r="A12" s="15">
        <v>6</v>
      </c>
      <c r="B12" s="4" t="s">
        <v>242</v>
      </c>
      <c r="C12" s="4" t="s">
        <v>243</v>
      </c>
      <c r="D12" s="14" t="s">
        <v>244</v>
      </c>
    </row>
    <row r="13" spans="1:4" ht="21.75" customHeight="1">
      <c r="A13" s="15">
        <v>7</v>
      </c>
      <c r="B13" s="4" t="s">
        <v>245</v>
      </c>
      <c r="C13" s="5" t="s">
        <v>246</v>
      </c>
      <c r="D13" s="14" t="s">
        <v>247</v>
      </c>
    </row>
    <row r="14" spans="1:4" ht="18" customHeight="1">
      <c r="A14" s="105" t="s">
        <v>248</v>
      </c>
      <c r="B14" s="105"/>
      <c r="C14" s="105"/>
      <c r="D14" s="105"/>
    </row>
    <row r="16" spans="1:4" ht="21.75" customHeight="1">
      <c r="A16" s="111" t="s">
        <v>249</v>
      </c>
      <c r="B16" s="111"/>
      <c r="C16" s="111"/>
      <c r="D16" s="111"/>
    </row>
    <row r="17" spans="1:4" ht="24" customHeight="1">
      <c r="A17" s="11" t="s">
        <v>80</v>
      </c>
      <c r="B17" s="2" t="s">
        <v>225</v>
      </c>
      <c r="C17" s="2" t="s">
        <v>5</v>
      </c>
      <c r="D17" s="2" t="s">
        <v>226</v>
      </c>
    </row>
    <row r="18" spans="1:4" ht="21.75" customHeight="1">
      <c r="A18" s="15">
        <v>1</v>
      </c>
      <c r="B18" s="4" t="s">
        <v>230</v>
      </c>
      <c r="C18" s="4" t="s">
        <v>250</v>
      </c>
      <c r="D18" s="14" t="s">
        <v>232</v>
      </c>
    </row>
    <row r="19" spans="1:4" ht="21.75" customHeight="1">
      <c r="A19" s="15">
        <v>2</v>
      </c>
      <c r="B19" s="4" t="s">
        <v>251</v>
      </c>
      <c r="C19" s="4" t="s">
        <v>252</v>
      </c>
      <c r="D19" s="14" t="s">
        <v>253</v>
      </c>
    </row>
    <row r="20" spans="1:4" ht="21.75" customHeight="1">
      <c r="A20" s="15">
        <v>3</v>
      </c>
      <c r="B20" s="4" t="s">
        <v>254</v>
      </c>
      <c r="C20" s="4" t="s">
        <v>255</v>
      </c>
      <c r="D20" s="14" t="s">
        <v>256</v>
      </c>
    </row>
    <row r="21" spans="1:4" ht="21.75" customHeight="1">
      <c r="A21" s="15">
        <v>4</v>
      </c>
      <c r="B21" s="4" t="s">
        <v>257</v>
      </c>
      <c r="C21" s="4" t="s">
        <v>258</v>
      </c>
      <c r="D21" s="14" t="s">
        <v>259</v>
      </c>
    </row>
    <row r="22" spans="1:4" ht="21.75" customHeight="1">
      <c r="A22" s="15">
        <v>5</v>
      </c>
      <c r="B22" s="4" t="s">
        <v>260</v>
      </c>
      <c r="C22" s="4" t="s">
        <v>261</v>
      </c>
      <c r="D22" s="15" t="s">
        <v>262</v>
      </c>
    </row>
    <row r="23" spans="1:4" ht="21.75" customHeight="1">
      <c r="A23" s="15">
        <v>6</v>
      </c>
      <c r="B23" s="4" t="s">
        <v>263</v>
      </c>
      <c r="C23" s="4" t="s">
        <v>264</v>
      </c>
      <c r="D23" s="15" t="s">
        <v>241</v>
      </c>
    </row>
    <row r="24" spans="1:4" ht="21.75" customHeight="1">
      <c r="A24" s="15">
        <v>7</v>
      </c>
      <c r="B24" s="4" t="s">
        <v>265</v>
      </c>
      <c r="C24" s="4" t="s">
        <v>266</v>
      </c>
      <c r="D24" s="15" t="s">
        <v>267</v>
      </c>
    </row>
    <row r="26" spans="1:4" ht="21.75" customHeight="1">
      <c r="A26" s="111" t="s">
        <v>268</v>
      </c>
      <c r="B26" s="111"/>
      <c r="C26" s="111"/>
      <c r="D26" s="111"/>
    </row>
    <row r="27" spans="1:4" ht="24" customHeight="1">
      <c r="A27" s="2" t="s">
        <v>58</v>
      </c>
      <c r="B27" s="2" t="s">
        <v>269</v>
      </c>
      <c r="C27" s="2" t="s">
        <v>270</v>
      </c>
      <c r="D27" s="2" t="s">
        <v>271</v>
      </c>
    </row>
    <row r="28" spans="1:4" ht="18" customHeight="1">
      <c r="A28" s="22" t="s">
        <v>272</v>
      </c>
      <c r="B28" s="23" t="s">
        <v>273</v>
      </c>
      <c r="C28" s="24" t="s">
        <v>274</v>
      </c>
      <c r="D28" s="25" t="s">
        <v>275</v>
      </c>
    </row>
    <row r="29" spans="1:4" ht="18" customHeight="1">
      <c r="A29" s="22" t="s">
        <v>272</v>
      </c>
      <c r="B29" s="23" t="s">
        <v>253</v>
      </c>
      <c r="C29" s="24" t="s">
        <v>276</v>
      </c>
      <c r="D29" s="26" t="s">
        <v>277</v>
      </c>
    </row>
    <row r="30" spans="1:4" ht="18" customHeight="1">
      <c r="A30" s="22" t="s">
        <v>272</v>
      </c>
      <c r="B30" s="23" t="s">
        <v>278</v>
      </c>
      <c r="C30" s="24" t="s">
        <v>279</v>
      </c>
      <c r="D30" s="25" t="s">
        <v>280</v>
      </c>
    </row>
    <row r="31" spans="1:4" ht="18" customHeight="1">
      <c r="A31" s="22" t="s">
        <v>272</v>
      </c>
      <c r="B31" s="23" t="s">
        <v>281</v>
      </c>
      <c r="C31" s="24" t="s">
        <v>282</v>
      </c>
      <c r="D31" s="25" t="s">
        <v>283</v>
      </c>
    </row>
    <row r="32" spans="1:4" ht="18" customHeight="1">
      <c r="A32" s="22" t="s">
        <v>272</v>
      </c>
      <c r="B32" s="23" t="s">
        <v>244</v>
      </c>
      <c r="C32" s="24" t="s">
        <v>284</v>
      </c>
      <c r="D32" s="25" t="s">
        <v>285</v>
      </c>
    </row>
    <row r="33" spans="1:4" ht="18" customHeight="1">
      <c r="A33" s="27" t="s">
        <v>286</v>
      </c>
      <c r="B33" s="28" t="s">
        <v>273</v>
      </c>
      <c r="C33" s="29" t="s">
        <v>274</v>
      </c>
      <c r="D33" s="30" t="s">
        <v>275</v>
      </c>
    </row>
    <row r="34" spans="1:4" ht="18" customHeight="1">
      <c r="A34" s="27" t="s">
        <v>286</v>
      </c>
      <c r="B34" s="28" t="s">
        <v>253</v>
      </c>
      <c r="C34" s="29" t="s">
        <v>276</v>
      </c>
      <c r="D34" s="31" t="s">
        <v>277</v>
      </c>
    </row>
    <row r="35" spans="1:4" ht="18" customHeight="1">
      <c r="A35" s="27" t="s">
        <v>286</v>
      </c>
      <c r="B35" s="28" t="s">
        <v>287</v>
      </c>
      <c r="C35" s="29" t="s">
        <v>288</v>
      </c>
      <c r="D35" s="30" t="s">
        <v>289</v>
      </c>
    </row>
    <row r="36" spans="1:4" ht="18" customHeight="1">
      <c r="A36" s="27" t="s">
        <v>286</v>
      </c>
      <c r="B36" s="28" t="s">
        <v>256</v>
      </c>
      <c r="C36" s="29" t="s">
        <v>290</v>
      </c>
      <c r="D36" s="31" t="s">
        <v>291</v>
      </c>
    </row>
    <row r="37" spans="1:4" ht="18" customHeight="1">
      <c r="A37" s="27" t="s">
        <v>286</v>
      </c>
      <c r="B37" s="28" t="s">
        <v>259</v>
      </c>
      <c r="C37" s="29" t="s">
        <v>292</v>
      </c>
      <c r="D37" s="31" t="s">
        <v>293</v>
      </c>
    </row>
    <row r="38" spans="1:4" ht="18" customHeight="1">
      <c r="A38" s="27" t="s">
        <v>286</v>
      </c>
      <c r="B38" s="28" t="s">
        <v>294</v>
      </c>
      <c r="C38" s="29" t="s">
        <v>295</v>
      </c>
      <c r="D38" s="30" t="s">
        <v>296</v>
      </c>
    </row>
    <row r="39" spans="1:4" ht="18" customHeight="1">
      <c r="A39" s="27" t="s">
        <v>286</v>
      </c>
      <c r="B39" s="28" t="s">
        <v>297</v>
      </c>
      <c r="C39" s="29" t="s">
        <v>298</v>
      </c>
      <c r="D39" s="30" t="s">
        <v>299</v>
      </c>
    </row>
    <row r="40" spans="1:4" ht="33" customHeight="1">
      <c r="A40" s="125" t="s">
        <v>300</v>
      </c>
      <c r="B40" s="125"/>
      <c r="C40" s="125"/>
      <c r="D40" s="125"/>
    </row>
  </sheetData>
  <mergeCells count="7">
    <mergeCell ref="A26:D26"/>
    <mergeCell ref="A40:D40"/>
    <mergeCell ref="A2:D2"/>
    <mergeCell ref="A3:D3"/>
    <mergeCell ref="A5:D5"/>
    <mergeCell ref="A14:D14"/>
    <mergeCell ref="A16:D16"/>
  </mergeCells>
  <phoneticPr fontId="51" type="noConversion"/>
  <printOptions horizontalCentered="1"/>
  <pageMargins left="0.3" right="0.3" top="0.4" bottom="0.4" header="0.511811023622047" footer="0.5"/>
  <pageSetup paperSize="9" fitToHeight="0" orientation="landscape" horizontalDpi="300" verticalDpi="300"/>
  <headerFooter>
    <oddFooter>&amp;L&amp;8 2호선 역세권 프로젝트 기획서&amp;R&amp;8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E4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6" style="1" customWidth="1"/>
    <col min="2" max="2" width="22" style="1" customWidth="1"/>
    <col min="3" max="3" width="12" style="1" customWidth="1"/>
    <col min="4" max="4" width="44" style="1" customWidth="1"/>
    <col min="5" max="5" width="20" style="1" customWidth="1"/>
  </cols>
  <sheetData>
    <row r="2" spans="1:5" ht="27.75" customHeight="1">
      <c r="A2" s="116" t="s">
        <v>301</v>
      </c>
      <c r="B2" s="116"/>
      <c r="C2" s="116"/>
      <c r="D2" s="116"/>
      <c r="E2" s="116"/>
    </row>
    <row r="3" spans="1:5" ht="15" customHeight="1">
      <c r="A3" s="117" t="s">
        <v>302</v>
      </c>
      <c r="B3" s="117"/>
      <c r="C3" s="117"/>
      <c r="D3" s="117"/>
      <c r="E3" s="117"/>
    </row>
    <row r="5" spans="1:5" ht="21.75" customHeight="1">
      <c r="A5" s="111" t="s">
        <v>303</v>
      </c>
      <c r="B5" s="111"/>
      <c r="C5" s="111"/>
      <c r="D5" s="111"/>
      <c r="E5" s="111"/>
    </row>
    <row r="6" spans="1:5" ht="24" customHeight="1">
      <c r="A6" s="2" t="s">
        <v>304</v>
      </c>
      <c r="B6" s="2" t="s">
        <v>305</v>
      </c>
      <c r="C6" s="2" t="s">
        <v>105</v>
      </c>
      <c r="D6" s="2" t="s">
        <v>306</v>
      </c>
      <c r="E6" s="2" t="s">
        <v>307</v>
      </c>
    </row>
    <row r="7" spans="1:5" ht="33.75" customHeight="1">
      <c r="A7" s="32" t="s">
        <v>308</v>
      </c>
      <c r="B7" s="4" t="s">
        <v>309</v>
      </c>
      <c r="C7" s="15" t="s">
        <v>310</v>
      </c>
      <c r="D7" s="5" t="s">
        <v>311</v>
      </c>
      <c r="E7" s="15" t="s">
        <v>312</v>
      </c>
    </row>
    <row r="8" spans="1:5" ht="33.75" customHeight="1">
      <c r="A8" s="32" t="s">
        <v>313</v>
      </c>
      <c r="B8" s="4" t="s">
        <v>314</v>
      </c>
      <c r="C8" s="15" t="s">
        <v>315</v>
      </c>
      <c r="D8" s="5" t="s">
        <v>316</v>
      </c>
      <c r="E8" s="15" t="s">
        <v>317</v>
      </c>
    </row>
    <row r="9" spans="1:5" ht="33.75" customHeight="1">
      <c r="A9" s="32" t="s">
        <v>318</v>
      </c>
      <c r="B9" s="4" t="s">
        <v>319</v>
      </c>
      <c r="C9" s="15" t="s">
        <v>320</v>
      </c>
      <c r="D9" s="5" t="s">
        <v>321</v>
      </c>
      <c r="E9" s="14" t="s">
        <v>322</v>
      </c>
    </row>
    <row r="11" spans="1:5" ht="21.75" customHeight="1">
      <c r="A11" s="111" t="s">
        <v>323</v>
      </c>
      <c r="B11" s="111"/>
      <c r="C11" s="111"/>
      <c r="D11" s="111"/>
      <c r="E11" s="111"/>
    </row>
    <row r="12" spans="1:5" ht="24" customHeight="1">
      <c r="A12" s="2" t="s">
        <v>304</v>
      </c>
      <c r="B12" s="112" t="s">
        <v>324</v>
      </c>
      <c r="C12" s="112"/>
      <c r="D12" s="2" t="s">
        <v>325</v>
      </c>
      <c r="E12" s="2" t="s">
        <v>81</v>
      </c>
    </row>
    <row r="13" spans="1:5" ht="25.5">
      <c r="A13" s="33" t="s">
        <v>308</v>
      </c>
      <c r="B13" s="129" t="s">
        <v>326</v>
      </c>
      <c r="C13" s="129"/>
      <c r="D13" s="34" t="s">
        <v>327</v>
      </c>
      <c r="E13" s="4" t="s">
        <v>328</v>
      </c>
    </row>
    <row r="14" spans="1:5" ht="25.5">
      <c r="A14" s="33" t="s">
        <v>313</v>
      </c>
      <c r="B14" s="129" t="s">
        <v>329</v>
      </c>
      <c r="C14" s="129"/>
      <c r="D14" s="34" t="s">
        <v>327</v>
      </c>
      <c r="E14" s="4" t="s">
        <v>330</v>
      </c>
    </row>
    <row r="15" spans="1:5" ht="18" customHeight="1">
      <c r="A15" s="105" t="s">
        <v>331</v>
      </c>
      <c r="B15" s="105"/>
      <c r="C15" s="105"/>
      <c r="D15" s="105"/>
      <c r="E15" s="105"/>
    </row>
    <row r="17" spans="1:5" ht="21.75" customHeight="1">
      <c r="A17" s="111" t="s">
        <v>332</v>
      </c>
      <c r="B17" s="111"/>
      <c r="C17" s="111"/>
      <c r="D17" s="111"/>
      <c r="E17" s="111"/>
    </row>
    <row r="18" spans="1:5" ht="18" customHeight="1">
      <c r="A18" s="127" t="s">
        <v>333</v>
      </c>
      <c r="B18" s="127"/>
      <c r="C18" s="127"/>
      <c r="D18" s="127"/>
      <c r="E18" s="127"/>
    </row>
    <row r="19" spans="1:5" ht="18" customHeight="1">
      <c r="A19" s="127" t="s">
        <v>334</v>
      </c>
      <c r="B19" s="127"/>
      <c r="C19" s="127"/>
      <c r="D19" s="127"/>
      <c r="E19" s="127"/>
    </row>
    <row r="20" spans="1:5" ht="18" customHeight="1">
      <c r="A20" s="127" t="s">
        <v>335</v>
      </c>
      <c r="B20" s="127"/>
      <c r="C20" s="127"/>
      <c r="D20" s="127"/>
      <c r="E20" s="127"/>
    </row>
    <row r="21" spans="1:5" ht="18" customHeight="1">
      <c r="A21" s="127" t="s">
        <v>336</v>
      </c>
      <c r="B21" s="127"/>
      <c r="C21" s="127"/>
      <c r="D21" s="127"/>
      <c r="E21" s="127"/>
    </row>
    <row r="22" spans="1:5" ht="16.5" customHeight="1">
      <c r="A22" s="127"/>
      <c r="B22" s="127"/>
      <c r="C22" s="127"/>
      <c r="D22" s="127"/>
      <c r="E22" s="127"/>
    </row>
    <row r="23" spans="1:5" ht="16.5" customHeight="1">
      <c r="A23" s="103" t="s">
        <v>337</v>
      </c>
      <c r="B23" s="103"/>
      <c r="C23" s="103"/>
      <c r="D23" s="103"/>
      <c r="E23" s="103"/>
    </row>
    <row r="24" spans="1:5" ht="18" customHeight="1">
      <c r="A24" s="127" t="s">
        <v>338</v>
      </c>
      <c r="B24" s="127"/>
      <c r="C24" s="127"/>
      <c r="D24" s="127"/>
      <c r="E24" s="127"/>
    </row>
    <row r="26" spans="1:5" ht="21.75" customHeight="1">
      <c r="A26" s="111" t="s">
        <v>339</v>
      </c>
      <c r="B26" s="111"/>
      <c r="C26" s="111"/>
      <c r="D26" s="111"/>
      <c r="E26" s="111"/>
    </row>
    <row r="27" spans="1:5" ht="18" customHeight="1">
      <c r="A27" s="128" t="s">
        <v>340</v>
      </c>
      <c r="B27" s="128"/>
      <c r="C27" s="128"/>
      <c r="D27" s="128"/>
      <c r="E27" s="128"/>
    </row>
    <row r="28" spans="1:5" ht="18" customHeight="1">
      <c r="A28" s="126" t="s">
        <v>341</v>
      </c>
      <c r="B28" s="126"/>
      <c r="C28" s="126"/>
      <c r="D28" s="126"/>
      <c r="E28" s="126"/>
    </row>
    <row r="29" spans="1:5" ht="18" customHeight="1">
      <c r="A29" s="126" t="s">
        <v>342</v>
      </c>
      <c r="B29" s="126"/>
      <c r="C29" s="126"/>
      <c r="D29" s="126"/>
      <c r="E29" s="126"/>
    </row>
    <row r="30" spans="1:5" ht="18" customHeight="1">
      <c r="A30" s="126" t="s">
        <v>343</v>
      </c>
      <c r="B30" s="126"/>
      <c r="C30" s="126"/>
      <c r="D30" s="126"/>
      <c r="E30" s="126"/>
    </row>
    <row r="31" spans="1:5" ht="18" customHeight="1">
      <c r="A31" s="126" t="s">
        <v>344</v>
      </c>
      <c r="B31" s="126"/>
      <c r="C31" s="126"/>
      <c r="D31" s="126"/>
      <c r="E31" s="126"/>
    </row>
    <row r="32" spans="1:5" ht="18" customHeight="1">
      <c r="A32" s="126" t="s">
        <v>345</v>
      </c>
      <c r="B32" s="126"/>
      <c r="C32" s="126"/>
      <c r="D32" s="126"/>
      <c r="E32" s="126"/>
    </row>
    <row r="33" spans="1:5" ht="18" customHeight="1">
      <c r="A33" s="126" t="s">
        <v>346</v>
      </c>
      <c r="B33" s="126"/>
      <c r="C33" s="126"/>
      <c r="D33" s="126"/>
      <c r="E33" s="126"/>
    </row>
    <row r="34" spans="1:5" ht="15" customHeight="1">
      <c r="A34" s="126" t="s">
        <v>347</v>
      </c>
      <c r="B34" s="126"/>
      <c r="C34" s="126"/>
      <c r="D34" s="126"/>
      <c r="E34" s="126"/>
    </row>
    <row r="35" spans="1:5" ht="18" customHeight="1">
      <c r="A35" s="126" t="s">
        <v>348</v>
      </c>
      <c r="B35" s="126"/>
      <c r="C35" s="126"/>
      <c r="D35" s="126"/>
      <c r="E35" s="126"/>
    </row>
    <row r="36" spans="1:5" ht="18" customHeight="1">
      <c r="A36" s="126" t="s">
        <v>349</v>
      </c>
      <c r="B36" s="126"/>
      <c r="C36" s="126"/>
      <c r="D36" s="126"/>
      <c r="E36" s="126"/>
    </row>
    <row r="37" spans="1:5" ht="18" customHeight="1">
      <c r="A37" s="126" t="s">
        <v>350</v>
      </c>
      <c r="B37" s="126"/>
      <c r="C37" s="126"/>
      <c r="D37" s="126"/>
      <c r="E37" s="126"/>
    </row>
    <row r="38" spans="1:5" ht="18" customHeight="1">
      <c r="A38" s="126" t="s">
        <v>351</v>
      </c>
      <c r="B38" s="126"/>
      <c r="C38" s="126"/>
      <c r="D38" s="126"/>
      <c r="E38" s="126"/>
    </row>
    <row r="39" spans="1:5" ht="18" customHeight="1">
      <c r="A39" s="126" t="s">
        <v>352</v>
      </c>
      <c r="B39" s="126"/>
      <c r="C39" s="126"/>
      <c r="D39" s="126"/>
      <c r="E39" s="126"/>
    </row>
    <row r="41" spans="1:5" ht="33" customHeight="1">
      <c r="A41" s="121" t="s">
        <v>353</v>
      </c>
      <c r="B41" s="121"/>
      <c r="C41" s="121"/>
      <c r="D41" s="121"/>
      <c r="E41" s="121"/>
    </row>
  </sheetData>
  <mergeCells count="31">
    <mergeCell ref="A2:E2"/>
    <mergeCell ref="A3:E3"/>
    <mergeCell ref="A5:E5"/>
    <mergeCell ref="A11:E11"/>
    <mergeCell ref="B12:C12"/>
    <mergeCell ref="B13:C13"/>
    <mergeCell ref="B14:C14"/>
    <mergeCell ref="A15:E15"/>
    <mergeCell ref="A17:E17"/>
    <mergeCell ref="A18:E18"/>
    <mergeCell ref="A19:E19"/>
    <mergeCell ref="A20:E20"/>
    <mergeCell ref="A21:E21"/>
    <mergeCell ref="A22:E22"/>
    <mergeCell ref="A23:E23"/>
    <mergeCell ref="A24:E24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41:E41"/>
    <mergeCell ref="A35:E35"/>
    <mergeCell ref="A36:E36"/>
    <mergeCell ref="A37:E37"/>
    <mergeCell ref="A38:E38"/>
    <mergeCell ref="A39:E39"/>
  </mergeCells>
  <phoneticPr fontId="51" type="noConversion"/>
  <printOptions horizontalCentered="1"/>
  <pageMargins left="0.3" right="0.3" top="0.4" bottom="0.4" header="0.511811023622047" footer="0.5"/>
  <pageSetup paperSize="9" fitToHeight="0" orientation="landscape" horizontalDpi="300" verticalDpi="300"/>
  <headerFooter>
    <oddFooter>&amp;L&amp;8 2호선 역세권 프로젝트 기획서&amp;R&amp;8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G51"/>
  <sheetViews>
    <sheetView showGridLines="0" zoomScaleNormal="100" workbookViewId="0">
      <pane ySplit="4" topLeftCell="A32" activePane="bottomLeft" state="frozen"/>
      <selection pane="bottomLeft" activeCell="N19" sqref="N19"/>
    </sheetView>
  </sheetViews>
  <sheetFormatPr defaultColWidth="8.7109375" defaultRowHeight="15"/>
  <cols>
    <col min="1" max="1" width="14" style="1" customWidth="1"/>
    <col min="2" max="2" width="20" style="1" customWidth="1"/>
    <col min="3" max="3" width="16" style="1" customWidth="1"/>
    <col min="4" max="4" width="20" style="1" customWidth="1"/>
    <col min="5" max="5" width="16" style="1" customWidth="1"/>
    <col min="6" max="6" width="69.5703125" style="1" customWidth="1"/>
    <col min="7" max="7" width="8" style="1" customWidth="1"/>
  </cols>
  <sheetData>
    <row r="2" spans="1:6" ht="27.75" customHeight="1">
      <c r="A2" s="116" t="s">
        <v>354</v>
      </c>
      <c r="B2" s="116"/>
      <c r="C2" s="116"/>
      <c r="D2" s="116"/>
      <c r="E2" s="116"/>
      <c r="F2" s="116"/>
    </row>
    <row r="3" spans="1:6" ht="18" customHeight="1">
      <c r="A3" s="117" t="s">
        <v>355</v>
      </c>
      <c r="B3" s="117"/>
      <c r="C3" s="117"/>
      <c r="D3" s="117"/>
      <c r="E3" s="117"/>
      <c r="F3" s="117"/>
    </row>
    <row r="5" spans="1:6" ht="21.75" customHeight="1">
      <c r="A5" s="104" t="s">
        <v>356</v>
      </c>
      <c r="B5" s="104"/>
      <c r="C5" s="104"/>
      <c r="D5" s="104"/>
      <c r="E5" s="104"/>
      <c r="F5" s="104"/>
    </row>
    <row r="6" spans="1:6" ht="15" customHeight="1">
      <c r="A6" s="35" t="s">
        <v>357</v>
      </c>
      <c r="B6" s="36">
        <v>33</v>
      </c>
      <c r="C6" s="35" t="s">
        <v>358</v>
      </c>
      <c r="D6" s="37">
        <v>0.34399999999999997</v>
      </c>
      <c r="E6" s="130" t="s">
        <v>359</v>
      </c>
      <c r="F6" s="130"/>
    </row>
    <row r="8" spans="1:6" ht="21.75" customHeight="1">
      <c r="A8" s="104" t="s">
        <v>360</v>
      </c>
      <c r="B8" s="104"/>
      <c r="C8" s="104"/>
      <c r="D8" s="104"/>
      <c r="E8" s="104"/>
      <c r="F8" s="104"/>
    </row>
    <row r="9" spans="1:6" ht="24" customHeight="1">
      <c r="A9" s="2" t="s">
        <v>274</v>
      </c>
      <c r="B9" s="2" t="s">
        <v>361</v>
      </c>
      <c r="C9" s="2" t="s">
        <v>362</v>
      </c>
      <c r="D9" s="2" t="s">
        <v>363</v>
      </c>
      <c r="E9" s="2" t="s">
        <v>364</v>
      </c>
      <c r="F9" s="2"/>
    </row>
    <row r="10" spans="1:6" ht="19.5" customHeight="1">
      <c r="A10" s="10" t="s">
        <v>365</v>
      </c>
      <c r="B10" s="38">
        <v>1861</v>
      </c>
      <c r="C10" s="39" t="s">
        <v>366</v>
      </c>
      <c r="D10" s="38">
        <v>103539</v>
      </c>
      <c r="E10" s="39" t="s">
        <v>366</v>
      </c>
    </row>
    <row r="11" spans="1:6" ht="19.5" customHeight="1">
      <c r="A11" s="10" t="s">
        <v>275</v>
      </c>
      <c r="B11" s="38">
        <v>2014</v>
      </c>
      <c r="C11" s="40">
        <f>B11/B10-1</f>
        <v>8.221386351423976E-2</v>
      </c>
      <c r="D11" s="38">
        <v>111696</v>
      </c>
      <c r="E11" s="40">
        <f>D11/D10-1</f>
        <v>7.8781908266450262E-2</v>
      </c>
    </row>
    <row r="12" spans="1:6" ht="19.5" customHeight="1">
      <c r="A12" s="10" t="s">
        <v>367</v>
      </c>
      <c r="B12" s="38">
        <v>2073</v>
      </c>
      <c r="C12" s="40">
        <f>B12/B11-1</f>
        <v>2.9294935451837034E-2</v>
      </c>
      <c r="D12" s="38">
        <v>120368</v>
      </c>
      <c r="E12" s="40">
        <f>D12/D11-1</f>
        <v>7.7639306689585963E-2</v>
      </c>
    </row>
    <row r="13" spans="1:6" ht="19.5" customHeight="1">
      <c r="A13" s="10" t="s">
        <v>368</v>
      </c>
      <c r="B13" s="38">
        <v>2109</v>
      </c>
      <c r="C13" s="40">
        <f>B13/B12-1</f>
        <v>1.736613603473236E-2</v>
      </c>
      <c r="D13" s="38">
        <v>135634</v>
      </c>
      <c r="E13" s="40">
        <f>D13/D12-1</f>
        <v>0.12682772829988043</v>
      </c>
    </row>
    <row r="14" spans="1:6" ht="33" customHeight="1">
      <c r="A14" s="105" t="s">
        <v>369</v>
      </c>
      <c r="B14" s="105"/>
      <c r="C14" s="105"/>
      <c r="D14" s="105"/>
      <c r="E14" s="105"/>
      <c r="F14" s="105"/>
    </row>
    <row r="16" spans="1:6" ht="21.75" customHeight="1">
      <c r="A16" s="104" t="s">
        <v>370</v>
      </c>
      <c r="B16" s="104"/>
      <c r="C16" s="104"/>
      <c r="D16" s="104"/>
      <c r="E16" s="104"/>
      <c r="F16" s="104"/>
    </row>
    <row r="17" spans="1:6" ht="24" customHeight="1">
      <c r="A17" s="2" t="s">
        <v>64</v>
      </c>
      <c r="B17" s="2" t="s">
        <v>371</v>
      </c>
      <c r="C17" s="2" t="s">
        <v>372</v>
      </c>
      <c r="D17" s="112" t="s">
        <v>373</v>
      </c>
      <c r="E17" s="112"/>
      <c r="F17" s="112"/>
    </row>
    <row r="18" spans="1:6" ht="33" customHeight="1">
      <c r="A18" s="3" t="s">
        <v>374</v>
      </c>
      <c r="B18" s="41">
        <v>0.377</v>
      </c>
      <c r="C18" s="15" t="str">
        <f>IF(ABS(B18)&gt;=$D$6,"유의","미달")</f>
        <v>유의</v>
      </c>
      <c r="D18" s="113" t="s">
        <v>375</v>
      </c>
      <c r="E18" s="113"/>
      <c r="F18" s="113"/>
    </row>
    <row r="19" spans="1:6" ht="33" customHeight="1">
      <c r="A19" s="3" t="s">
        <v>291</v>
      </c>
      <c r="B19" s="41">
        <v>0.28000000000000003</v>
      </c>
      <c r="C19" s="15" t="str">
        <f>IF(ABS(B19)&gt;=$D$6,"유의","미달")</f>
        <v>미달</v>
      </c>
      <c r="D19" s="110" t="s">
        <v>376</v>
      </c>
      <c r="E19" s="110"/>
      <c r="F19" s="110"/>
    </row>
    <row r="20" spans="1:6" ht="24" customHeight="1">
      <c r="A20" s="3" t="s">
        <v>377</v>
      </c>
      <c r="B20" s="41">
        <v>0.15</v>
      </c>
      <c r="C20" s="15" t="str">
        <f>IF(ABS(B20)&gt;=$D$6,"유의","미달")</f>
        <v>미달</v>
      </c>
      <c r="D20" s="110" t="s">
        <v>378</v>
      </c>
      <c r="E20" s="110"/>
      <c r="F20" s="110"/>
    </row>
    <row r="21" spans="1:6" ht="24" customHeight="1">
      <c r="A21" s="3" t="s">
        <v>379</v>
      </c>
      <c r="B21" s="41">
        <v>0.09</v>
      </c>
      <c r="C21" s="15" t="str">
        <f>IF(ABS(B21)&gt;=$D$6,"유의","미달")</f>
        <v>미달</v>
      </c>
      <c r="D21" s="110" t="s">
        <v>380</v>
      </c>
      <c r="E21" s="110"/>
      <c r="F21" s="110"/>
    </row>
    <row r="23" spans="1:6" ht="21.75" customHeight="1">
      <c r="A23" s="104" t="s">
        <v>381</v>
      </c>
      <c r="B23" s="104"/>
      <c r="C23" s="104"/>
      <c r="D23" s="104"/>
      <c r="E23" s="104"/>
      <c r="F23" s="104"/>
    </row>
    <row r="24" spans="1:6" ht="24" customHeight="1">
      <c r="A24" s="2" t="s">
        <v>27</v>
      </c>
      <c r="B24" s="2" t="s">
        <v>371</v>
      </c>
      <c r="C24" s="2" t="s">
        <v>372</v>
      </c>
      <c r="D24" s="112" t="s">
        <v>373</v>
      </c>
      <c r="E24" s="112"/>
      <c r="F24" s="112"/>
    </row>
    <row r="25" spans="1:6" ht="21.75" customHeight="1">
      <c r="A25" s="3" t="s">
        <v>382</v>
      </c>
      <c r="B25" s="41">
        <v>0.28399999999999997</v>
      </c>
      <c r="C25" s="15" t="str">
        <f>IF(ABS(B25)&gt;=$D$6,"유의","미달")</f>
        <v>미달</v>
      </c>
      <c r="D25" s="113" t="s">
        <v>383</v>
      </c>
      <c r="E25" s="113"/>
      <c r="F25" s="113"/>
    </row>
    <row r="26" spans="1:6" ht="21.75" customHeight="1">
      <c r="A26" s="3" t="s">
        <v>293</v>
      </c>
      <c r="B26" s="41">
        <v>0.22800000000000001</v>
      </c>
      <c r="C26" s="15" t="str">
        <f>IF(ABS(B26)&gt;=$D$6,"유의","미달")</f>
        <v>미달</v>
      </c>
      <c r="D26" s="110" t="s">
        <v>384</v>
      </c>
      <c r="E26" s="110"/>
      <c r="F26" s="110"/>
    </row>
    <row r="27" spans="1:6" ht="21.75" customHeight="1">
      <c r="A27" s="3" t="s">
        <v>385</v>
      </c>
      <c r="B27" s="41">
        <v>0.161</v>
      </c>
      <c r="C27" s="15" t="str">
        <f>IF(ABS(B27)&gt;=$D$6,"유의","미달")</f>
        <v>미달</v>
      </c>
      <c r="D27" s="110" t="s">
        <v>386</v>
      </c>
      <c r="E27" s="110"/>
      <c r="F27" s="110"/>
    </row>
    <row r="28" spans="1:6" ht="33" customHeight="1">
      <c r="A28" s="105" t="s">
        <v>387</v>
      </c>
      <c r="B28" s="105"/>
      <c r="C28" s="105"/>
      <c r="D28" s="105"/>
      <c r="E28" s="105"/>
      <c r="F28" s="105"/>
    </row>
    <row r="30" spans="1:6" ht="21.75" customHeight="1">
      <c r="A30" s="104" t="s">
        <v>388</v>
      </c>
      <c r="B30" s="104"/>
      <c r="C30" s="104"/>
      <c r="D30" s="104"/>
      <c r="E30" s="104"/>
      <c r="F30" s="104"/>
    </row>
    <row r="31" spans="1:6" ht="24" customHeight="1">
      <c r="A31" s="2" t="s">
        <v>274</v>
      </c>
      <c r="B31" s="2" t="s">
        <v>371</v>
      </c>
      <c r="C31" s="2" t="s">
        <v>372</v>
      </c>
      <c r="D31" s="112" t="s">
        <v>373</v>
      </c>
      <c r="E31" s="112"/>
      <c r="F31" s="112"/>
    </row>
    <row r="32" spans="1:6" ht="19.5" customHeight="1">
      <c r="A32" s="10" t="s">
        <v>365</v>
      </c>
      <c r="B32" s="42">
        <v>0.26400000000000001</v>
      </c>
      <c r="C32" s="39" t="str">
        <f>IF(ABS(B32)&gt;=$D$6,"유의","미달")</f>
        <v>미달</v>
      </c>
      <c r="D32" s="123" t="s">
        <v>389</v>
      </c>
      <c r="E32" s="123"/>
      <c r="F32" s="123"/>
    </row>
    <row r="33" spans="1:6" ht="19.5" customHeight="1">
      <c r="A33" s="10" t="s">
        <v>275</v>
      </c>
      <c r="B33" s="42">
        <v>0.184</v>
      </c>
      <c r="C33" s="39" t="str">
        <f>IF(ABS(B33)&gt;=$D$6,"유의","미달")</f>
        <v>미달</v>
      </c>
      <c r="D33" s="124" t="s">
        <v>390</v>
      </c>
      <c r="E33" s="124"/>
      <c r="F33" s="124"/>
    </row>
    <row r="34" spans="1:6" ht="19.5" customHeight="1">
      <c r="A34" s="10" t="s">
        <v>367</v>
      </c>
      <c r="B34" s="42">
        <v>0.22800000000000001</v>
      </c>
      <c r="C34" s="39" t="str">
        <f>IF(ABS(B34)&gt;=$D$6,"유의","미달")</f>
        <v>미달</v>
      </c>
      <c r="D34" s="124" t="s">
        <v>391</v>
      </c>
      <c r="E34" s="124"/>
      <c r="F34" s="124"/>
    </row>
    <row r="35" spans="1:6" ht="19.5" customHeight="1">
      <c r="A35" s="10" t="s">
        <v>368</v>
      </c>
      <c r="B35" s="42">
        <v>0.222</v>
      </c>
      <c r="C35" s="39" t="str">
        <f>IF(ABS(B35)&gt;=$D$6,"유의","미달")</f>
        <v>미달</v>
      </c>
      <c r="D35" s="123" t="s">
        <v>392</v>
      </c>
      <c r="E35" s="123"/>
      <c r="F35" s="123"/>
    </row>
    <row r="36" spans="1:6" ht="33" customHeight="1">
      <c r="A36" s="105" t="s">
        <v>393</v>
      </c>
      <c r="B36" s="105"/>
      <c r="C36" s="105"/>
      <c r="D36" s="105"/>
      <c r="E36" s="105"/>
      <c r="F36" s="105"/>
    </row>
    <row r="38" spans="1:6" ht="21.75" customHeight="1">
      <c r="A38" s="104" t="s">
        <v>394</v>
      </c>
      <c r="B38" s="104"/>
      <c r="C38" s="104"/>
      <c r="D38" s="104"/>
      <c r="E38" s="104"/>
      <c r="F38" s="104"/>
    </row>
    <row r="39" spans="1:6" ht="24" customHeight="1">
      <c r="A39" s="2" t="s">
        <v>395</v>
      </c>
      <c r="B39" s="2" t="s">
        <v>274</v>
      </c>
      <c r="C39" s="2" t="s">
        <v>290</v>
      </c>
      <c r="D39" s="2" t="s">
        <v>292</v>
      </c>
      <c r="E39" s="2" t="s">
        <v>396</v>
      </c>
      <c r="F39" s="2" t="s">
        <v>372</v>
      </c>
    </row>
    <row r="40" spans="1:6" ht="19.5" customHeight="1">
      <c r="A40" s="13">
        <v>1</v>
      </c>
      <c r="B40" s="39" t="s">
        <v>368</v>
      </c>
      <c r="C40" s="43" t="s">
        <v>374</v>
      </c>
      <c r="D40" s="43" t="s">
        <v>293</v>
      </c>
      <c r="E40" s="44">
        <v>0.69699999999999995</v>
      </c>
      <c r="F40" s="43" t="str">
        <f>IF(ABS(E40)&gt;=$D$6,"유의","미달")</f>
        <v>유의</v>
      </c>
    </row>
    <row r="41" spans="1:6" ht="19.5" customHeight="1">
      <c r="A41" s="13">
        <v>2</v>
      </c>
      <c r="B41" s="39" t="s">
        <v>365</v>
      </c>
      <c r="C41" s="43" t="s">
        <v>374</v>
      </c>
      <c r="D41" s="43" t="s">
        <v>293</v>
      </c>
      <c r="E41" s="44">
        <v>0.59099999999999997</v>
      </c>
      <c r="F41" s="43" t="str">
        <f>IF(ABS(E41)&gt;=$D$6,"유의","미달")</f>
        <v>유의</v>
      </c>
    </row>
    <row r="42" spans="1:6" ht="19.5" customHeight="1">
      <c r="A42" s="13">
        <v>3</v>
      </c>
      <c r="B42" s="39" t="s">
        <v>367</v>
      </c>
      <c r="C42" s="43" t="s">
        <v>374</v>
      </c>
      <c r="D42" s="43" t="s">
        <v>293</v>
      </c>
      <c r="E42" s="44">
        <v>0.55500000000000005</v>
      </c>
      <c r="F42" s="43" t="str">
        <f>IF(ABS(E42)&gt;=$D$6,"유의","미달")</f>
        <v>유의</v>
      </c>
    </row>
    <row r="43" spans="1:6" ht="19.5" customHeight="1">
      <c r="A43" s="13">
        <v>4</v>
      </c>
      <c r="B43" s="39" t="s">
        <v>365</v>
      </c>
      <c r="C43" s="43" t="s">
        <v>377</v>
      </c>
      <c r="D43" s="43" t="s">
        <v>382</v>
      </c>
      <c r="E43" s="44">
        <v>0.51800000000000002</v>
      </c>
      <c r="F43" s="43" t="str">
        <f>IF(ABS(E43)&gt;=$D$6,"유의","미달")</f>
        <v>유의</v>
      </c>
    </row>
    <row r="44" spans="1:6" ht="19.5" customHeight="1">
      <c r="A44" s="13">
        <v>5</v>
      </c>
      <c r="B44" s="39" t="s">
        <v>368</v>
      </c>
      <c r="C44" s="43" t="s">
        <v>291</v>
      </c>
      <c r="D44" s="43" t="s">
        <v>293</v>
      </c>
      <c r="E44" s="44">
        <v>0.39700000000000002</v>
      </c>
      <c r="F44" s="43" t="str">
        <f>IF(ABS(E44)&gt;=$D$6,"유의","미달")</f>
        <v>유의</v>
      </c>
    </row>
    <row r="45" spans="1:6" ht="33" customHeight="1">
      <c r="A45" s="105" t="s">
        <v>397</v>
      </c>
      <c r="B45" s="105"/>
      <c r="C45" s="105"/>
      <c r="D45" s="105"/>
      <c r="E45" s="105"/>
      <c r="F45" s="105"/>
    </row>
    <row r="47" spans="1:6" ht="21.75" customHeight="1">
      <c r="A47" s="104" t="s">
        <v>398</v>
      </c>
      <c r="B47" s="104"/>
      <c r="C47" s="104"/>
      <c r="D47" s="104"/>
      <c r="E47" s="104"/>
      <c r="F47" s="104"/>
    </row>
    <row r="48" spans="1:6" ht="33" customHeight="1">
      <c r="A48" s="115" t="s">
        <v>399</v>
      </c>
      <c r="B48" s="115"/>
      <c r="C48" s="115"/>
      <c r="D48" s="115"/>
      <c r="E48" s="115"/>
      <c r="F48" s="115"/>
    </row>
    <row r="49" spans="1:6" ht="33" customHeight="1">
      <c r="A49" s="115" t="s">
        <v>400</v>
      </c>
      <c r="B49" s="115"/>
      <c r="C49" s="115"/>
      <c r="D49" s="115"/>
      <c r="E49" s="115"/>
      <c r="F49" s="115"/>
    </row>
    <row r="50" spans="1:6" ht="33" customHeight="1">
      <c r="A50" s="115" t="s">
        <v>401</v>
      </c>
      <c r="B50" s="115"/>
      <c r="C50" s="115"/>
      <c r="D50" s="115"/>
      <c r="E50" s="115"/>
      <c r="F50" s="115"/>
    </row>
    <row r="51" spans="1:6" ht="33" customHeight="1">
      <c r="A51" s="115" t="s">
        <v>402</v>
      </c>
      <c r="B51" s="115"/>
      <c r="C51" s="115"/>
      <c r="D51" s="115"/>
      <c r="E51" s="115"/>
      <c r="F51" s="115"/>
    </row>
  </sheetData>
  <mergeCells count="32">
    <mergeCell ref="A2:F2"/>
    <mergeCell ref="A3:F3"/>
    <mergeCell ref="A5:F5"/>
    <mergeCell ref="E6:F6"/>
    <mergeCell ref="A8:F8"/>
    <mergeCell ref="A14:F14"/>
    <mergeCell ref="A16:F16"/>
    <mergeCell ref="D17:F17"/>
    <mergeCell ref="D18:F18"/>
    <mergeCell ref="D19:F19"/>
    <mergeCell ref="D20:F20"/>
    <mergeCell ref="D21:F21"/>
    <mergeCell ref="A23:F23"/>
    <mergeCell ref="D24:F24"/>
    <mergeCell ref="D25:F25"/>
    <mergeCell ref="D26:F26"/>
    <mergeCell ref="D27:F27"/>
    <mergeCell ref="A28:F28"/>
    <mergeCell ref="A30:F30"/>
    <mergeCell ref="D31:F31"/>
    <mergeCell ref="D32:F32"/>
    <mergeCell ref="D33:F33"/>
    <mergeCell ref="D34:F34"/>
    <mergeCell ref="D35:F35"/>
    <mergeCell ref="A36:F36"/>
    <mergeCell ref="A50:F50"/>
    <mergeCell ref="A51:F51"/>
    <mergeCell ref="A38:F38"/>
    <mergeCell ref="A45:F45"/>
    <mergeCell ref="A47:F47"/>
    <mergeCell ref="A48:F48"/>
    <mergeCell ref="A49:F49"/>
  </mergeCells>
  <phoneticPr fontId="51" type="noConversion"/>
  <printOptions horizontalCentered="1"/>
  <pageMargins left="0.3" right="0.3" top="0.4" bottom="0.4" header="0.511811023622047" footer="0.5"/>
  <pageSetup paperSize="9" fitToHeight="0" orientation="landscape" horizontalDpi="300" verticalDpi="300"/>
  <headerFooter>
    <oddFooter>&amp;L&amp;8 2호선 역세권 프로젝트 기획서&amp;R&amp;8 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E39"/>
  <sheetViews>
    <sheetView showGridLines="0" zoomScaleNormal="100" workbookViewId="0">
      <pane ySplit="4" topLeftCell="A32" activePane="bottomLeft" state="frozen"/>
      <selection pane="bottomLeft" activeCell="D57" sqref="D57:D59"/>
    </sheetView>
  </sheetViews>
  <sheetFormatPr defaultColWidth="8.7109375" defaultRowHeight="15"/>
  <cols>
    <col min="1" max="1" width="10" style="1" customWidth="1"/>
    <col min="2" max="2" width="24" style="1" customWidth="1"/>
    <col min="3" max="3" width="22" style="1" customWidth="1"/>
    <col min="4" max="4" width="46" style="1" customWidth="1"/>
    <col min="5" max="5" width="12" style="1" customWidth="1"/>
  </cols>
  <sheetData>
    <row r="2" spans="1:5" ht="27.75" customHeight="1">
      <c r="A2" s="116" t="s">
        <v>403</v>
      </c>
      <c r="B2" s="116"/>
      <c r="C2" s="116"/>
      <c r="D2" s="116"/>
      <c r="E2" s="116"/>
    </row>
    <row r="3" spans="1:5" ht="15" customHeight="1">
      <c r="A3" s="119" t="s">
        <v>404</v>
      </c>
      <c r="B3" s="119"/>
      <c r="C3" s="119"/>
      <c r="D3" s="119"/>
      <c r="E3" s="119"/>
    </row>
    <row r="5" spans="1:5" ht="21.75" customHeight="1">
      <c r="A5" s="111" t="s">
        <v>405</v>
      </c>
      <c r="B5" s="111"/>
      <c r="C5" s="111"/>
      <c r="D5" s="111"/>
      <c r="E5" s="111"/>
    </row>
    <row r="6" spans="1:5" ht="18" customHeight="1">
      <c r="A6" s="114" t="s">
        <v>406</v>
      </c>
      <c r="B6" s="114"/>
      <c r="C6" s="114"/>
      <c r="D6" s="114"/>
      <c r="E6" s="114"/>
    </row>
    <row r="7" spans="1:5" ht="18" customHeight="1">
      <c r="A7" s="114" t="s">
        <v>407</v>
      </c>
      <c r="B7" s="114"/>
      <c r="C7" s="114"/>
      <c r="D7" s="114"/>
      <c r="E7" s="114"/>
    </row>
    <row r="8" spans="1:5" ht="18" customHeight="1">
      <c r="A8" s="114" t="s">
        <v>408</v>
      </c>
      <c r="B8" s="114"/>
      <c r="C8" s="114"/>
      <c r="D8" s="114"/>
      <c r="E8" s="114"/>
    </row>
    <row r="10" spans="1:5" ht="21.75" customHeight="1">
      <c r="A10" s="111" t="s">
        <v>409</v>
      </c>
      <c r="B10" s="111"/>
      <c r="C10" s="111"/>
      <c r="D10" s="111"/>
      <c r="E10" s="111"/>
    </row>
    <row r="11" spans="1:5" ht="24" customHeight="1">
      <c r="A11" s="2" t="s">
        <v>410</v>
      </c>
      <c r="B11" s="2" t="s">
        <v>411</v>
      </c>
      <c r="C11" s="2" t="s">
        <v>412</v>
      </c>
      <c r="D11" s="2" t="s">
        <v>413</v>
      </c>
      <c r="E11" s="2" t="s">
        <v>414</v>
      </c>
    </row>
    <row r="12" spans="1:5" ht="31.5" customHeight="1">
      <c r="A12" s="45" t="s">
        <v>415</v>
      </c>
      <c r="B12" s="46" t="s">
        <v>416</v>
      </c>
      <c r="C12" s="47" t="s">
        <v>417</v>
      </c>
      <c r="D12" s="48" t="s">
        <v>418</v>
      </c>
      <c r="E12" s="46">
        <v>8</v>
      </c>
    </row>
    <row r="13" spans="1:5" ht="19.5" customHeight="1">
      <c r="A13" s="49"/>
      <c r="B13" s="134" t="s">
        <v>419</v>
      </c>
      <c r="C13" s="134"/>
      <c r="D13" s="134"/>
      <c r="E13" s="134"/>
    </row>
    <row r="14" spans="1:5" ht="31.5" customHeight="1">
      <c r="A14" s="50" t="s">
        <v>420</v>
      </c>
      <c r="B14" s="51" t="s">
        <v>421</v>
      </c>
      <c r="C14" s="52" t="s">
        <v>422</v>
      </c>
      <c r="D14" s="53" t="s">
        <v>423</v>
      </c>
      <c r="E14" s="51">
        <v>8</v>
      </c>
    </row>
    <row r="15" spans="1:5" ht="33" customHeight="1">
      <c r="A15" s="54"/>
      <c r="B15" s="135" t="s">
        <v>424</v>
      </c>
      <c r="C15" s="135"/>
      <c r="D15" s="135"/>
      <c r="E15" s="135"/>
    </row>
    <row r="16" spans="1:5" ht="31.5" customHeight="1">
      <c r="A16" s="55" t="s">
        <v>425</v>
      </c>
      <c r="B16" s="56" t="s">
        <v>426</v>
      </c>
      <c r="C16" s="57" t="s">
        <v>427</v>
      </c>
      <c r="D16" s="58" t="s">
        <v>428</v>
      </c>
      <c r="E16" s="56">
        <v>9</v>
      </c>
    </row>
    <row r="17" spans="1:5" ht="19.5" customHeight="1">
      <c r="A17" s="59"/>
      <c r="B17" s="136" t="s">
        <v>429</v>
      </c>
      <c r="C17" s="136"/>
      <c r="D17" s="136"/>
      <c r="E17" s="136"/>
    </row>
    <row r="18" spans="1:5" ht="31.5" customHeight="1">
      <c r="A18" s="60" t="s">
        <v>430</v>
      </c>
      <c r="B18" s="61" t="s">
        <v>431</v>
      </c>
      <c r="C18" s="62" t="s">
        <v>432</v>
      </c>
      <c r="D18" s="63" t="s">
        <v>433</v>
      </c>
      <c r="E18" s="61">
        <v>8</v>
      </c>
    </row>
    <row r="19" spans="1:5" ht="19.5" customHeight="1">
      <c r="A19" s="64"/>
      <c r="B19" s="133" t="s">
        <v>434</v>
      </c>
      <c r="C19" s="133"/>
      <c r="D19" s="133"/>
      <c r="E19" s="133"/>
    </row>
    <row r="20" spans="1:5" ht="21.75" customHeight="1">
      <c r="A20" s="65"/>
      <c r="B20" s="65"/>
      <c r="C20" s="65"/>
      <c r="D20" s="66" t="s">
        <v>435</v>
      </c>
      <c r="E20" s="67">
        <f>SUM(E12:E19)</f>
        <v>33</v>
      </c>
    </row>
    <row r="22" spans="1:5" ht="21.75" customHeight="1">
      <c r="A22" s="111" t="s">
        <v>436</v>
      </c>
      <c r="B22" s="111"/>
      <c r="C22" s="111"/>
      <c r="D22" s="111"/>
      <c r="E22" s="111"/>
    </row>
    <row r="23" spans="1:5" ht="18" customHeight="1">
      <c r="A23" s="131" t="s">
        <v>437</v>
      </c>
      <c r="B23" s="131"/>
      <c r="C23" s="131"/>
      <c r="D23" s="131"/>
      <c r="E23" s="131"/>
    </row>
    <row r="24" spans="1:5" ht="16.5" customHeight="1">
      <c r="A24" s="132" t="s">
        <v>438</v>
      </c>
      <c r="B24" s="132"/>
      <c r="C24" s="132"/>
      <c r="D24" s="132"/>
      <c r="E24" s="132"/>
    </row>
    <row r="25" spans="1:5" ht="18" customHeight="1">
      <c r="A25" s="131" t="s">
        <v>439</v>
      </c>
      <c r="B25" s="131"/>
      <c r="C25" s="131"/>
      <c r="D25" s="131"/>
      <c r="E25" s="131"/>
    </row>
    <row r="26" spans="1:5" ht="18" customHeight="1">
      <c r="A26" s="131" t="s">
        <v>440</v>
      </c>
      <c r="B26" s="131"/>
      <c r="C26" s="131"/>
      <c r="D26" s="131"/>
      <c r="E26" s="131"/>
    </row>
    <row r="27" spans="1:5" ht="18" customHeight="1">
      <c r="A27" s="131" t="s">
        <v>441</v>
      </c>
      <c r="B27" s="131"/>
      <c r="C27" s="131"/>
      <c r="D27" s="131"/>
      <c r="E27" s="131"/>
    </row>
    <row r="28" spans="1:5" ht="33" customHeight="1">
      <c r="A28" s="131" t="s">
        <v>442</v>
      </c>
      <c r="B28" s="131"/>
      <c r="C28" s="131"/>
      <c r="D28" s="131"/>
      <c r="E28" s="131"/>
    </row>
    <row r="29" spans="1:5" ht="18" customHeight="1">
      <c r="A29" s="131" t="s">
        <v>443</v>
      </c>
      <c r="B29" s="131"/>
      <c r="C29" s="131"/>
      <c r="D29" s="131"/>
      <c r="E29" s="131"/>
    </row>
    <row r="30" spans="1:5" ht="18" customHeight="1">
      <c r="A30" s="131" t="s">
        <v>444</v>
      </c>
      <c r="B30" s="131"/>
      <c r="C30" s="131"/>
      <c r="D30" s="131"/>
      <c r="E30" s="131"/>
    </row>
    <row r="31" spans="1:5" ht="18" customHeight="1">
      <c r="A31" s="131" t="s">
        <v>445</v>
      </c>
      <c r="B31" s="131"/>
      <c r="C31" s="131"/>
      <c r="D31" s="131"/>
      <c r="E31" s="131"/>
    </row>
    <row r="32" spans="1:5" ht="16.5" customHeight="1">
      <c r="A32" s="132" t="s">
        <v>438</v>
      </c>
      <c r="B32" s="132"/>
      <c r="C32" s="132"/>
      <c r="D32" s="132"/>
      <c r="E32" s="132"/>
    </row>
    <row r="33" spans="1:5" ht="18" customHeight="1">
      <c r="A33" s="131" t="s">
        <v>446</v>
      </c>
      <c r="B33" s="131"/>
      <c r="C33" s="131"/>
      <c r="D33" s="131"/>
      <c r="E33" s="131"/>
    </row>
    <row r="35" spans="1:5" ht="21.75" customHeight="1">
      <c r="A35" s="111" t="s">
        <v>447</v>
      </c>
      <c r="B35" s="111"/>
      <c r="C35" s="111"/>
      <c r="D35" s="111"/>
      <c r="E35" s="111"/>
    </row>
    <row r="36" spans="1:5" ht="33" customHeight="1">
      <c r="A36" s="114" t="s">
        <v>448</v>
      </c>
      <c r="B36" s="114"/>
      <c r="C36" s="114"/>
      <c r="D36" s="114"/>
      <c r="E36" s="114"/>
    </row>
    <row r="37" spans="1:5" ht="18" customHeight="1">
      <c r="A37" s="114" t="s">
        <v>449</v>
      </c>
      <c r="B37" s="114"/>
      <c r="C37" s="114"/>
      <c r="D37" s="114"/>
      <c r="E37" s="114"/>
    </row>
    <row r="38" spans="1:5" ht="33" customHeight="1">
      <c r="A38" s="114" t="s">
        <v>450</v>
      </c>
      <c r="B38" s="114"/>
      <c r="C38" s="114"/>
      <c r="D38" s="114"/>
      <c r="E38" s="114"/>
    </row>
    <row r="39" spans="1:5" ht="33" customHeight="1">
      <c r="A39" s="114" t="s">
        <v>451</v>
      </c>
      <c r="B39" s="114"/>
      <c r="C39" s="114"/>
      <c r="D39" s="114"/>
      <c r="E39" s="114"/>
    </row>
  </sheetData>
  <mergeCells count="28">
    <mergeCell ref="A2:E2"/>
    <mergeCell ref="A3:E3"/>
    <mergeCell ref="A5:E5"/>
    <mergeCell ref="A6:E6"/>
    <mergeCell ref="A7:E7"/>
    <mergeCell ref="A8:E8"/>
    <mergeCell ref="A10:E10"/>
    <mergeCell ref="B13:E13"/>
    <mergeCell ref="B15:E15"/>
    <mergeCell ref="B17:E17"/>
    <mergeCell ref="B19:E19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7:E37"/>
    <mergeCell ref="A38:E38"/>
    <mergeCell ref="A39:E39"/>
    <mergeCell ref="A31:E31"/>
    <mergeCell ref="A32:E32"/>
    <mergeCell ref="A33:E33"/>
    <mergeCell ref="A35:E35"/>
    <mergeCell ref="A36:E36"/>
  </mergeCells>
  <phoneticPr fontId="51" type="noConversion"/>
  <printOptions horizontalCentered="1"/>
  <pageMargins left="0.3" right="0.3" top="0.4" bottom="0.4" header="0.511811023622047" footer="0.5"/>
  <pageSetup paperSize="9" fitToHeight="0" orientation="landscape" horizontalDpi="300" verticalDpi="300"/>
  <headerFooter>
    <oddFooter>&amp;L&amp;8 2호선 역세권 프로젝트 기획서&amp;R&amp;8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D68"/>
  <sheetViews>
    <sheetView showGridLines="0" zoomScaleNormal="100" workbookViewId="0">
      <pane ySplit="4" topLeftCell="A56" activePane="bottomLeft" state="frozen"/>
      <selection pane="bottomLeft" activeCell="C16" sqref="C16"/>
    </sheetView>
  </sheetViews>
  <sheetFormatPr defaultColWidth="8.7109375" defaultRowHeight="15"/>
  <cols>
    <col min="1" max="1" width="12" style="1" customWidth="1"/>
    <col min="2" max="2" width="32" style="1" customWidth="1"/>
    <col min="3" max="3" width="44" style="1" customWidth="1"/>
    <col min="4" max="4" width="30" style="1" customWidth="1"/>
  </cols>
  <sheetData>
    <row r="2" spans="1:4" ht="27.75" customHeight="1">
      <c r="A2" s="116" t="s">
        <v>452</v>
      </c>
      <c r="B2" s="116"/>
      <c r="C2" s="116"/>
      <c r="D2" s="116"/>
    </row>
    <row r="3" spans="1:4" ht="15" customHeight="1">
      <c r="A3" s="117" t="s">
        <v>453</v>
      </c>
      <c r="B3" s="117"/>
      <c r="C3" s="117"/>
      <c r="D3" s="117"/>
    </row>
    <row r="5" spans="1:4" ht="21.75" customHeight="1">
      <c r="A5" s="111" t="s">
        <v>454</v>
      </c>
      <c r="B5" s="111"/>
      <c r="C5" s="111"/>
      <c r="D5" s="111"/>
    </row>
    <row r="6" spans="1:4" ht="18" customHeight="1">
      <c r="A6" s="127" t="s">
        <v>455</v>
      </c>
      <c r="B6" s="127"/>
      <c r="C6" s="127"/>
      <c r="D6" s="127"/>
    </row>
    <row r="7" spans="1:4" ht="16.5" customHeight="1">
      <c r="A7" s="127" t="s">
        <v>456</v>
      </c>
      <c r="B7" s="127"/>
      <c r="C7" s="127"/>
      <c r="D7" s="127"/>
    </row>
    <row r="8" spans="1:4" ht="18" customHeight="1">
      <c r="A8" s="103" t="s">
        <v>457</v>
      </c>
      <c r="B8" s="103"/>
      <c r="C8" s="103"/>
      <c r="D8" s="103"/>
    </row>
    <row r="9" spans="1:4" ht="16.5" customHeight="1">
      <c r="A9" s="127" t="s">
        <v>458</v>
      </c>
      <c r="B9" s="127"/>
      <c r="C9" s="127"/>
      <c r="D9" s="127"/>
    </row>
    <row r="10" spans="1:4" ht="18" customHeight="1">
      <c r="A10" s="127" t="s">
        <v>459</v>
      </c>
      <c r="B10" s="127"/>
      <c r="C10" s="127"/>
      <c r="D10" s="127"/>
    </row>
    <row r="11" spans="1:4" ht="33" customHeight="1">
      <c r="A11" s="121" t="s">
        <v>460</v>
      </c>
      <c r="B11" s="121"/>
      <c r="C11" s="121"/>
      <c r="D11" s="121"/>
    </row>
    <row r="13" spans="1:4" ht="21.75" customHeight="1">
      <c r="A13" s="111" t="s">
        <v>461</v>
      </c>
      <c r="B13" s="111"/>
      <c r="C13" s="111"/>
      <c r="D13" s="111"/>
    </row>
    <row r="14" spans="1:4" ht="24" customHeight="1">
      <c r="A14" s="11" t="s">
        <v>80</v>
      </c>
      <c r="B14" s="2" t="s">
        <v>462</v>
      </c>
      <c r="C14" s="11" t="s">
        <v>463</v>
      </c>
      <c r="D14" s="2" t="s">
        <v>210</v>
      </c>
    </row>
    <row r="15" spans="1:4" ht="30" customHeight="1">
      <c r="A15" s="6" t="s">
        <v>464</v>
      </c>
      <c r="B15" s="4" t="s">
        <v>465</v>
      </c>
      <c r="C15" s="68" t="s">
        <v>466</v>
      </c>
      <c r="D15" s="14" t="s">
        <v>467</v>
      </c>
    </row>
    <row r="16" spans="1:4" ht="30" customHeight="1">
      <c r="A16" s="6" t="s">
        <v>468</v>
      </c>
      <c r="B16" s="4" t="s">
        <v>469</v>
      </c>
      <c r="C16" s="68" t="s">
        <v>470</v>
      </c>
      <c r="D16" s="14" t="s">
        <v>467</v>
      </c>
    </row>
    <row r="17" spans="1:4" ht="30" customHeight="1">
      <c r="A17" s="6" t="s">
        <v>471</v>
      </c>
      <c r="B17" s="4" t="s">
        <v>472</v>
      </c>
      <c r="C17" s="68" t="s">
        <v>473</v>
      </c>
      <c r="D17" s="14" t="s">
        <v>467</v>
      </c>
    </row>
    <row r="18" spans="1:4" ht="30" customHeight="1">
      <c r="A18" s="6" t="s">
        <v>474</v>
      </c>
      <c r="B18" s="4" t="s">
        <v>475</v>
      </c>
      <c r="C18" s="68" t="s">
        <v>476</v>
      </c>
      <c r="D18" s="15" t="s">
        <v>477</v>
      </c>
    </row>
    <row r="19" spans="1:4" ht="61.5" customHeight="1">
      <c r="A19" s="6" t="s">
        <v>478</v>
      </c>
      <c r="B19" s="4" t="s">
        <v>479</v>
      </c>
      <c r="C19" s="68" t="s">
        <v>480</v>
      </c>
      <c r="D19" s="15" t="s">
        <v>481</v>
      </c>
    </row>
    <row r="20" spans="1:4" ht="30" customHeight="1">
      <c r="A20" s="6" t="s">
        <v>482</v>
      </c>
      <c r="B20" s="4" t="s">
        <v>362</v>
      </c>
      <c r="C20" s="68" t="s">
        <v>483</v>
      </c>
      <c r="D20" s="15" t="s">
        <v>484</v>
      </c>
    </row>
    <row r="21" spans="1:4" ht="61.5" customHeight="1">
      <c r="A21" s="6" t="s">
        <v>485</v>
      </c>
      <c r="B21" s="4" t="s">
        <v>486</v>
      </c>
      <c r="C21" s="68" t="s">
        <v>487</v>
      </c>
      <c r="D21" s="15" t="s">
        <v>481</v>
      </c>
    </row>
    <row r="22" spans="1:4" ht="36.75" customHeight="1">
      <c r="A22" s="6" t="s">
        <v>488</v>
      </c>
      <c r="B22" s="4" t="s">
        <v>364</v>
      </c>
      <c r="C22" s="68" t="s">
        <v>489</v>
      </c>
      <c r="D22" s="15" t="s">
        <v>484</v>
      </c>
    </row>
    <row r="23" spans="1:4" ht="40.5" customHeight="1">
      <c r="A23" s="6" t="s">
        <v>490</v>
      </c>
      <c r="B23" s="4" t="s">
        <v>491</v>
      </c>
      <c r="C23" s="68" t="s">
        <v>492</v>
      </c>
      <c r="D23" s="14" t="s">
        <v>493</v>
      </c>
    </row>
    <row r="24" spans="1:4" ht="39.75" customHeight="1">
      <c r="A24" s="6" t="s">
        <v>494</v>
      </c>
      <c r="B24" s="4" t="s">
        <v>495</v>
      </c>
      <c r="C24" s="68" t="s">
        <v>496</v>
      </c>
      <c r="D24" s="14" t="s">
        <v>493</v>
      </c>
    </row>
    <row r="25" spans="1:4" ht="105.75" customHeight="1">
      <c r="A25" s="6" t="s">
        <v>497</v>
      </c>
      <c r="B25" s="4" t="s">
        <v>498</v>
      </c>
      <c r="C25" s="68" t="s">
        <v>499</v>
      </c>
      <c r="D25" s="14" t="s">
        <v>500</v>
      </c>
    </row>
    <row r="26" spans="1:4" ht="18" customHeight="1">
      <c r="A26" s="120" t="s">
        <v>501</v>
      </c>
      <c r="B26" s="120"/>
      <c r="C26" s="120"/>
      <c r="D26" s="120"/>
    </row>
    <row r="28" spans="1:4" ht="21.75" customHeight="1">
      <c r="A28" s="111" t="s">
        <v>502</v>
      </c>
      <c r="B28" s="111"/>
      <c r="C28" s="111"/>
      <c r="D28" s="111"/>
    </row>
    <row r="29" spans="1:4" ht="18" customHeight="1">
      <c r="A29" s="105" t="s">
        <v>503</v>
      </c>
      <c r="B29" s="105"/>
      <c r="C29" s="105"/>
      <c r="D29" s="105"/>
    </row>
    <row r="30" spans="1:4" ht="24" customHeight="1">
      <c r="A30" s="112" t="s">
        <v>58</v>
      </c>
      <c r="B30" s="112"/>
      <c r="C30" s="2" t="s">
        <v>504</v>
      </c>
      <c r="D30" s="2" t="s">
        <v>505</v>
      </c>
    </row>
    <row r="31" spans="1:4" ht="30" customHeight="1">
      <c r="A31" s="122" t="s">
        <v>506</v>
      </c>
      <c r="B31" s="122"/>
      <c r="C31" s="4" t="s">
        <v>507</v>
      </c>
      <c r="D31" s="14" t="s">
        <v>508</v>
      </c>
    </row>
    <row r="32" spans="1:4" ht="27.75" customHeight="1">
      <c r="A32" s="137" t="s">
        <v>509</v>
      </c>
      <c r="B32" s="137"/>
      <c r="C32" s="4" t="s">
        <v>510</v>
      </c>
      <c r="D32" s="14" t="s">
        <v>511</v>
      </c>
    </row>
    <row r="33" spans="1:4" ht="29.25" customHeight="1">
      <c r="A33" s="137" t="s">
        <v>512</v>
      </c>
      <c r="B33" s="137"/>
      <c r="C33" s="4" t="s">
        <v>513</v>
      </c>
      <c r="D33" s="14" t="s">
        <v>514</v>
      </c>
    </row>
    <row r="34" spans="1:4" ht="29.25" customHeight="1">
      <c r="A34" s="137" t="s">
        <v>484</v>
      </c>
      <c r="B34" s="137"/>
      <c r="C34" s="4" t="s">
        <v>515</v>
      </c>
      <c r="D34" s="14" t="s">
        <v>516</v>
      </c>
    </row>
    <row r="35" spans="1:4" ht="21.75" customHeight="1">
      <c r="A35" s="137" t="s">
        <v>517</v>
      </c>
      <c r="B35" s="137"/>
      <c r="C35" s="4" t="s">
        <v>518</v>
      </c>
      <c r="D35" s="14" t="s">
        <v>519</v>
      </c>
    </row>
    <row r="37" spans="1:4" ht="21.75" customHeight="1">
      <c r="A37" s="111" t="s">
        <v>520</v>
      </c>
      <c r="B37" s="111"/>
      <c r="C37" s="111"/>
      <c r="D37" s="111"/>
    </row>
    <row r="38" spans="1:4" ht="18" customHeight="1">
      <c r="A38" s="105" t="s">
        <v>521</v>
      </c>
      <c r="B38" s="105"/>
      <c r="C38" s="105"/>
      <c r="D38" s="105"/>
    </row>
    <row r="39" spans="1:4" ht="24" customHeight="1">
      <c r="A39" s="112" t="s">
        <v>58</v>
      </c>
      <c r="B39" s="112"/>
      <c r="C39" s="2" t="s">
        <v>504</v>
      </c>
      <c r="D39" s="2" t="s">
        <v>505</v>
      </c>
    </row>
    <row r="40" spans="1:4" ht="21.75" customHeight="1">
      <c r="A40" s="137" t="s">
        <v>522</v>
      </c>
      <c r="B40" s="137"/>
      <c r="C40" s="4" t="s">
        <v>523</v>
      </c>
      <c r="D40" s="14" t="s">
        <v>468</v>
      </c>
    </row>
    <row r="41" spans="1:4" ht="21.75" customHeight="1">
      <c r="A41" s="137" t="s">
        <v>522</v>
      </c>
      <c r="B41" s="137"/>
      <c r="C41" s="4" t="s">
        <v>524</v>
      </c>
      <c r="D41" s="14" t="s">
        <v>468</v>
      </c>
    </row>
    <row r="42" spans="1:4" ht="21.75" customHeight="1">
      <c r="A42" s="137" t="s">
        <v>525</v>
      </c>
      <c r="B42" s="137"/>
      <c r="C42" s="4" t="s">
        <v>526</v>
      </c>
      <c r="D42" s="14" t="s">
        <v>511</v>
      </c>
    </row>
    <row r="43" spans="1:4" ht="21.75" customHeight="1">
      <c r="A43" s="137" t="s">
        <v>525</v>
      </c>
      <c r="B43" s="137"/>
      <c r="C43" s="4" t="s">
        <v>527</v>
      </c>
      <c r="D43" s="14" t="s">
        <v>511</v>
      </c>
    </row>
    <row r="44" spans="1:4" ht="21.75" customHeight="1">
      <c r="A44" s="137" t="s">
        <v>528</v>
      </c>
      <c r="B44" s="137"/>
      <c r="C44" s="4" t="s">
        <v>529</v>
      </c>
      <c r="D44" s="14" t="s">
        <v>511</v>
      </c>
    </row>
    <row r="45" spans="1:4" ht="21.75" customHeight="1">
      <c r="A45" s="137" t="s">
        <v>517</v>
      </c>
      <c r="B45" s="137"/>
      <c r="C45" s="4" t="s">
        <v>530</v>
      </c>
      <c r="D45" s="14" t="s">
        <v>519</v>
      </c>
    </row>
    <row r="47" spans="1:4" ht="21.75" customHeight="1">
      <c r="A47" s="111" t="s">
        <v>531</v>
      </c>
      <c r="B47" s="111"/>
      <c r="C47" s="111"/>
      <c r="D47" s="111"/>
    </row>
    <row r="48" spans="1:4" ht="18" customHeight="1">
      <c r="A48" s="105" t="s">
        <v>532</v>
      </c>
      <c r="B48" s="105"/>
      <c r="C48" s="105"/>
      <c r="D48" s="105"/>
    </row>
    <row r="49" spans="1:4" ht="24" customHeight="1">
      <c r="A49" s="112" t="s">
        <v>58</v>
      </c>
      <c r="B49" s="112"/>
      <c r="C49" s="2" t="s">
        <v>504</v>
      </c>
      <c r="D49" s="2" t="s">
        <v>505</v>
      </c>
    </row>
    <row r="50" spans="1:4" ht="25.5">
      <c r="A50" s="122" t="s">
        <v>533</v>
      </c>
      <c r="B50" s="122"/>
      <c r="C50" s="5" t="s">
        <v>534</v>
      </c>
      <c r="D50" s="14" t="s">
        <v>535</v>
      </c>
    </row>
    <row r="51" spans="1:4">
      <c r="A51" s="137" t="s">
        <v>536</v>
      </c>
      <c r="B51" s="137"/>
      <c r="C51" s="4" t="s">
        <v>537</v>
      </c>
      <c r="D51" s="14" t="s">
        <v>538</v>
      </c>
    </row>
    <row r="52" spans="1:4">
      <c r="A52" s="137" t="s">
        <v>539</v>
      </c>
      <c r="B52" s="137"/>
      <c r="C52" s="4" t="s">
        <v>540</v>
      </c>
      <c r="D52" s="14" t="s">
        <v>497</v>
      </c>
    </row>
    <row r="53" spans="1:4" ht="21.75" customHeight="1">
      <c r="A53" s="137" t="s">
        <v>517</v>
      </c>
      <c r="B53" s="137"/>
      <c r="C53" s="4" t="s">
        <v>518</v>
      </c>
      <c r="D53" s="14" t="s">
        <v>519</v>
      </c>
    </row>
    <row r="55" spans="1:4" ht="21.75" customHeight="1">
      <c r="A55" s="111" t="s">
        <v>541</v>
      </c>
      <c r="B55" s="111"/>
      <c r="C55" s="111"/>
      <c r="D55" s="111"/>
    </row>
    <row r="56" spans="1:4" ht="18" customHeight="1">
      <c r="A56" s="105" t="s">
        <v>542</v>
      </c>
      <c r="B56" s="105"/>
      <c r="C56" s="105"/>
      <c r="D56" s="105"/>
    </row>
    <row r="57" spans="1:4" ht="24" customHeight="1">
      <c r="A57" s="112" t="s">
        <v>58</v>
      </c>
      <c r="B57" s="112"/>
      <c r="C57" s="2" t="s">
        <v>504</v>
      </c>
      <c r="D57" s="2" t="s">
        <v>505</v>
      </c>
    </row>
    <row r="58" spans="1:4" ht="21.75" customHeight="1">
      <c r="A58" s="137" t="s">
        <v>543</v>
      </c>
      <c r="B58" s="137"/>
      <c r="C58" s="4" t="s">
        <v>544</v>
      </c>
      <c r="D58" s="14" t="s">
        <v>519</v>
      </c>
    </row>
    <row r="59" spans="1:4" ht="21.75" customHeight="1">
      <c r="A59" s="137" t="s">
        <v>539</v>
      </c>
      <c r="B59" s="137"/>
      <c r="C59" s="4" t="s">
        <v>545</v>
      </c>
      <c r="D59" s="14" t="s">
        <v>519</v>
      </c>
    </row>
    <row r="60" spans="1:4" ht="21.75" customHeight="1">
      <c r="A60" s="137" t="s">
        <v>546</v>
      </c>
      <c r="B60" s="137"/>
      <c r="C60" s="4" t="s">
        <v>547</v>
      </c>
      <c r="D60" s="14" t="s">
        <v>511</v>
      </c>
    </row>
    <row r="61" spans="1:4" ht="21.75" customHeight="1">
      <c r="A61" s="137" t="s">
        <v>539</v>
      </c>
      <c r="B61" s="137"/>
      <c r="C61" s="4" t="s">
        <v>548</v>
      </c>
      <c r="D61" s="14" t="s">
        <v>519</v>
      </c>
    </row>
    <row r="63" spans="1:4" ht="21.75" customHeight="1">
      <c r="A63" s="111" t="s">
        <v>549</v>
      </c>
      <c r="B63" s="111"/>
      <c r="C63" s="111"/>
      <c r="D63" s="111"/>
    </row>
    <row r="64" spans="1:4" ht="24" customHeight="1">
      <c r="A64" s="11" t="s">
        <v>80</v>
      </c>
      <c r="B64" s="2" t="s">
        <v>550</v>
      </c>
      <c r="C64" s="2" t="s">
        <v>551</v>
      </c>
      <c r="D64" s="2" t="s">
        <v>552</v>
      </c>
    </row>
    <row r="65" spans="1:4" ht="63.75">
      <c r="A65" s="69" t="s">
        <v>553</v>
      </c>
      <c r="B65" s="17" t="s">
        <v>554</v>
      </c>
      <c r="C65" s="17" t="s">
        <v>555</v>
      </c>
      <c r="D65" s="17" t="s">
        <v>556</v>
      </c>
    </row>
    <row r="66" spans="1:4" ht="63.75">
      <c r="A66" s="69" t="s">
        <v>557</v>
      </c>
      <c r="B66" s="17" t="s">
        <v>558</v>
      </c>
      <c r="C66" s="17" t="s">
        <v>559</v>
      </c>
      <c r="D66" s="17" t="s">
        <v>560</v>
      </c>
    </row>
    <row r="67" spans="1:4" ht="51">
      <c r="A67" s="69" t="s">
        <v>561</v>
      </c>
      <c r="B67" s="17" t="s">
        <v>562</v>
      </c>
      <c r="C67" s="17" t="s">
        <v>563</v>
      </c>
      <c r="D67" s="70" t="s">
        <v>564</v>
      </c>
    </row>
    <row r="68" spans="1:4" ht="33" customHeight="1">
      <c r="A68" s="121" t="s">
        <v>565</v>
      </c>
      <c r="B68" s="121"/>
      <c r="C68" s="121"/>
      <c r="D68" s="121"/>
    </row>
  </sheetData>
  <mergeCells count="44">
    <mergeCell ref="A2:D2"/>
    <mergeCell ref="A3:D3"/>
    <mergeCell ref="A5:D5"/>
    <mergeCell ref="A6:D6"/>
    <mergeCell ref="A7:D7"/>
    <mergeCell ref="A8:D8"/>
    <mergeCell ref="A9:D9"/>
    <mergeCell ref="A10:D10"/>
    <mergeCell ref="A11:D11"/>
    <mergeCell ref="A13:D13"/>
    <mergeCell ref="A26:D26"/>
    <mergeCell ref="A28:D28"/>
    <mergeCell ref="A29:D29"/>
    <mergeCell ref="A30:B30"/>
    <mergeCell ref="A31:B31"/>
    <mergeCell ref="A32:B32"/>
    <mergeCell ref="A33:B33"/>
    <mergeCell ref="A34:B34"/>
    <mergeCell ref="A35:B35"/>
    <mergeCell ref="A37:D37"/>
    <mergeCell ref="A38:D38"/>
    <mergeCell ref="A39:B39"/>
    <mergeCell ref="A40:B40"/>
    <mergeCell ref="A41:B41"/>
    <mergeCell ref="A42:B42"/>
    <mergeCell ref="A43:B43"/>
    <mergeCell ref="A44:B44"/>
    <mergeCell ref="A45:B45"/>
    <mergeCell ref="A47:D47"/>
    <mergeCell ref="A48:D48"/>
    <mergeCell ref="A49:B49"/>
    <mergeCell ref="A50:B50"/>
    <mergeCell ref="A51:B51"/>
    <mergeCell ref="A52:B52"/>
    <mergeCell ref="A53:B53"/>
    <mergeCell ref="A60:B60"/>
    <mergeCell ref="A61:B61"/>
    <mergeCell ref="A63:D63"/>
    <mergeCell ref="A68:D68"/>
    <mergeCell ref="A55:D55"/>
    <mergeCell ref="A56:D56"/>
    <mergeCell ref="A57:B57"/>
    <mergeCell ref="A58:B58"/>
    <mergeCell ref="A59:B59"/>
  </mergeCells>
  <phoneticPr fontId="51" type="noConversion"/>
  <printOptions horizontalCentered="1"/>
  <pageMargins left="0.3" right="0.3" top="0.4" bottom="0.4" header="0.511811023622047" footer="0.5"/>
  <pageSetup paperSize="9" fitToHeight="0" orientation="landscape" horizontalDpi="300" verticalDpi="300"/>
  <headerFooter>
    <oddFooter>&amp;L&amp;8 2호선 역세권 프로젝트 기획서&amp;R&amp;8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D19"/>
  <sheetViews>
    <sheetView showGridLines="0" zoomScaleNormal="100" workbookViewId="0">
      <pane ySplit="4" topLeftCell="A5" activePane="bottomLeft" state="frozen"/>
      <selection pane="bottomLeft" activeCell="A8" sqref="A8"/>
    </sheetView>
  </sheetViews>
  <sheetFormatPr defaultColWidth="8.7109375" defaultRowHeight="15"/>
  <cols>
    <col min="1" max="1" width="22" style="1" customWidth="1"/>
    <col min="2" max="2" width="16" style="1" customWidth="1"/>
    <col min="3" max="3" width="58" style="1" customWidth="1"/>
    <col min="4" max="4" width="26" style="1" customWidth="1"/>
  </cols>
  <sheetData>
    <row r="2" spans="1:4" ht="27.75" customHeight="1">
      <c r="A2" s="116" t="s">
        <v>566</v>
      </c>
      <c r="B2" s="116"/>
      <c r="C2" s="116"/>
      <c r="D2" s="116"/>
    </row>
    <row r="3" spans="1:4" ht="13.5" customHeight="1">
      <c r="A3" s="117" t="s">
        <v>567</v>
      </c>
      <c r="B3" s="117"/>
      <c r="C3" s="117"/>
      <c r="D3" s="117"/>
    </row>
    <row r="5" spans="1:4" ht="18" customHeight="1">
      <c r="A5" s="106" t="s">
        <v>568</v>
      </c>
      <c r="B5" s="106"/>
      <c r="C5" s="106"/>
      <c r="D5" s="106"/>
    </row>
    <row r="7" spans="1:4" ht="24" customHeight="1">
      <c r="A7" s="2" t="s">
        <v>305</v>
      </c>
      <c r="B7" s="2" t="s">
        <v>569</v>
      </c>
      <c r="C7" s="2" t="s">
        <v>570</v>
      </c>
      <c r="D7" s="2" t="s">
        <v>571</v>
      </c>
    </row>
    <row r="8" spans="1:4" ht="73.5" customHeight="1">
      <c r="A8" s="71" t="s">
        <v>572</v>
      </c>
      <c r="B8" s="19" t="s">
        <v>143</v>
      </c>
      <c r="C8" s="70" t="s">
        <v>573</v>
      </c>
      <c r="D8" s="16" t="s">
        <v>574</v>
      </c>
    </row>
    <row r="9" spans="1:4" ht="73.5" customHeight="1">
      <c r="A9" s="71" t="s">
        <v>575</v>
      </c>
      <c r="B9" s="19" t="s">
        <v>132</v>
      </c>
      <c r="C9" s="70" t="s">
        <v>576</v>
      </c>
      <c r="D9" s="72" t="s">
        <v>577</v>
      </c>
    </row>
    <row r="10" spans="1:4" ht="73.5" customHeight="1">
      <c r="A10" s="71" t="s">
        <v>578</v>
      </c>
      <c r="B10" s="19" t="s">
        <v>138</v>
      </c>
      <c r="C10" s="70" t="s">
        <v>579</v>
      </c>
      <c r="D10" s="72" t="s">
        <v>580</v>
      </c>
    </row>
    <row r="11" spans="1:4" ht="73.5" customHeight="1">
      <c r="A11" s="71" t="s">
        <v>581</v>
      </c>
      <c r="B11" s="19" t="s">
        <v>135</v>
      </c>
      <c r="C11" s="70" t="s">
        <v>582</v>
      </c>
      <c r="D11" s="16" t="s">
        <v>583</v>
      </c>
    </row>
    <row r="12" spans="1:4" ht="18" customHeight="1">
      <c r="A12" s="118" t="s">
        <v>584</v>
      </c>
      <c r="B12" s="118"/>
      <c r="C12" s="118"/>
      <c r="D12" s="118"/>
    </row>
    <row r="14" spans="1:4" ht="21.75" customHeight="1">
      <c r="A14" s="104" t="s">
        <v>585</v>
      </c>
      <c r="B14" s="104"/>
      <c r="C14" s="104"/>
      <c r="D14" s="104"/>
    </row>
    <row r="15" spans="1:4" ht="15" customHeight="1">
      <c r="A15" s="114" t="s">
        <v>586</v>
      </c>
      <c r="B15" s="114"/>
      <c r="C15" s="114"/>
      <c r="D15" s="114"/>
    </row>
    <row r="16" spans="1:4" ht="15" customHeight="1">
      <c r="A16" s="114" t="s">
        <v>587</v>
      </c>
      <c r="B16" s="114"/>
      <c r="C16" s="114"/>
      <c r="D16" s="114"/>
    </row>
    <row r="17" spans="1:4" ht="15" customHeight="1">
      <c r="A17" s="114" t="s">
        <v>588</v>
      </c>
      <c r="B17" s="114"/>
      <c r="C17" s="114"/>
      <c r="D17" s="114"/>
    </row>
    <row r="18" spans="1:4" ht="15" customHeight="1">
      <c r="A18" s="114" t="s">
        <v>589</v>
      </c>
      <c r="B18" s="114"/>
      <c r="C18" s="114"/>
      <c r="D18" s="114"/>
    </row>
    <row r="19" spans="1:4" ht="15" customHeight="1">
      <c r="A19" s="114" t="s">
        <v>590</v>
      </c>
      <c r="B19" s="114"/>
      <c r="C19" s="114"/>
      <c r="D19" s="114"/>
    </row>
  </sheetData>
  <mergeCells count="10">
    <mergeCell ref="A2:D2"/>
    <mergeCell ref="A3:D3"/>
    <mergeCell ref="A5:D5"/>
    <mergeCell ref="A12:D12"/>
    <mergeCell ref="A14:D14"/>
    <mergeCell ref="A15:D15"/>
    <mergeCell ref="A16:D16"/>
    <mergeCell ref="A17:D17"/>
    <mergeCell ref="A18:D18"/>
    <mergeCell ref="A19:D19"/>
  </mergeCells>
  <phoneticPr fontId="51" type="noConversion"/>
  <dataValidations count="1">
    <dataValidation type="list" allowBlank="1" sqref="B8:B11">
      <formula1>"김경혜,김주영,박경필,전정재"</formula1>
      <formula2>0</formula2>
    </dataValidation>
  </dataValidations>
  <printOptions horizontalCentered="1"/>
  <pageMargins left="0.3" right="0.3" top="0.4" bottom="0.4" header="0.511811023622047" footer="0.5"/>
  <pageSetup paperSize="9" fitToHeight="0" orientation="landscape" horizontalDpi="300" verticalDpi="300"/>
  <headerFooter>
    <oddFooter>&amp;L&amp;8 2호선 역세권 프로젝트 기획서&amp;R&amp;8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G32"/>
  <sheetViews>
    <sheetView showGridLines="0" zoomScaleNormal="100" workbookViewId="0">
      <pane ySplit="4" topLeftCell="A5" activePane="bottomLeft" state="frozen"/>
      <selection pane="bottomLeft" activeCell="G20" sqref="G20"/>
    </sheetView>
  </sheetViews>
  <sheetFormatPr defaultColWidth="8.7109375" defaultRowHeight="15"/>
  <cols>
    <col min="1" max="1" width="10" style="1" customWidth="1"/>
    <col min="2" max="2" width="22" style="1" customWidth="1"/>
    <col min="3" max="3" width="42" style="1" customWidth="1"/>
    <col min="4" max="4" width="20" style="1" customWidth="1"/>
    <col min="5" max="5" width="12" style="1" customWidth="1"/>
    <col min="6" max="7" width="14" style="1" customWidth="1"/>
  </cols>
  <sheetData>
    <row r="2" spans="1:7" ht="27.75" customHeight="1">
      <c r="A2" s="116" t="s">
        <v>591</v>
      </c>
      <c r="B2" s="116"/>
      <c r="C2" s="116"/>
      <c r="D2" s="116"/>
      <c r="E2" s="116"/>
      <c r="F2" s="116"/>
      <c r="G2" s="116"/>
    </row>
    <row r="3" spans="1:7" ht="18" customHeight="1">
      <c r="A3" s="117" t="s">
        <v>592</v>
      </c>
      <c r="B3" s="117"/>
      <c r="C3" s="117"/>
      <c r="D3" s="117"/>
      <c r="E3" s="117"/>
      <c r="F3" s="117"/>
      <c r="G3" s="117"/>
    </row>
    <row r="5" spans="1:7" ht="24" customHeight="1">
      <c r="A5" s="2" t="s">
        <v>593</v>
      </c>
      <c r="B5" s="2" t="s">
        <v>594</v>
      </c>
      <c r="C5" s="2" t="s">
        <v>595</v>
      </c>
      <c r="D5" s="2" t="s">
        <v>596</v>
      </c>
      <c r="E5" s="2" t="s">
        <v>597</v>
      </c>
      <c r="F5" s="2" t="s">
        <v>598</v>
      </c>
      <c r="G5" s="2" t="s">
        <v>599</v>
      </c>
    </row>
    <row r="6" spans="1:7" ht="21.75" customHeight="1">
      <c r="A6" s="73" t="s">
        <v>600</v>
      </c>
      <c r="B6" s="74" t="s">
        <v>601</v>
      </c>
      <c r="C6" s="74" t="s">
        <v>602</v>
      </c>
      <c r="D6" s="101" t="s">
        <v>784</v>
      </c>
      <c r="E6" s="75">
        <v>4</v>
      </c>
      <c r="F6" s="76" t="s">
        <v>604</v>
      </c>
      <c r="G6" s="77" t="s">
        <v>605</v>
      </c>
    </row>
    <row r="7" spans="1:7" ht="21.75" customHeight="1">
      <c r="A7" s="73" t="s">
        <v>600</v>
      </c>
      <c r="B7" s="74" t="s">
        <v>606</v>
      </c>
      <c r="C7" s="74" t="s">
        <v>607</v>
      </c>
      <c r="D7" s="78" t="s">
        <v>608</v>
      </c>
      <c r="E7" s="75">
        <v>4</v>
      </c>
      <c r="F7" s="76" t="s">
        <v>604</v>
      </c>
      <c r="G7" s="77" t="s">
        <v>609</v>
      </c>
    </row>
    <row r="8" spans="1:7" ht="21.75" customHeight="1">
      <c r="A8" s="73" t="s">
        <v>600</v>
      </c>
      <c r="B8" s="74" t="s">
        <v>610</v>
      </c>
      <c r="C8" s="74" t="s">
        <v>611</v>
      </c>
      <c r="D8" s="78" t="s">
        <v>608</v>
      </c>
      <c r="E8" s="75">
        <v>4</v>
      </c>
      <c r="F8" s="76" t="s">
        <v>604</v>
      </c>
      <c r="G8" s="77" t="s">
        <v>612</v>
      </c>
    </row>
    <row r="9" spans="1:7" ht="21.75" customHeight="1">
      <c r="A9" s="73" t="s">
        <v>600</v>
      </c>
      <c r="B9" s="74" t="s">
        <v>613</v>
      </c>
      <c r="C9" s="74" t="s">
        <v>614</v>
      </c>
      <c r="D9" s="78" t="s">
        <v>608</v>
      </c>
      <c r="E9" s="75">
        <v>4</v>
      </c>
      <c r="F9" s="76" t="s">
        <v>604</v>
      </c>
      <c r="G9" s="77" t="s">
        <v>612</v>
      </c>
    </row>
    <row r="10" spans="1:7" ht="21.75" customHeight="1">
      <c r="A10" s="73" t="s">
        <v>600</v>
      </c>
      <c r="B10" s="79" t="s">
        <v>615</v>
      </c>
      <c r="C10" s="79" t="s">
        <v>616</v>
      </c>
      <c r="D10" s="78" t="s">
        <v>617</v>
      </c>
      <c r="E10" s="75">
        <v>4</v>
      </c>
      <c r="F10" s="76" t="s">
        <v>604</v>
      </c>
      <c r="G10" s="77" t="s">
        <v>618</v>
      </c>
    </row>
    <row r="11" spans="1:7" ht="21.75" customHeight="1">
      <c r="A11" s="73" t="s">
        <v>600</v>
      </c>
      <c r="B11" s="74" t="s">
        <v>619</v>
      </c>
      <c r="C11" s="79" t="s">
        <v>620</v>
      </c>
      <c r="D11" s="78" t="s">
        <v>617</v>
      </c>
      <c r="E11" s="75">
        <v>4</v>
      </c>
      <c r="F11" s="76" t="s">
        <v>604</v>
      </c>
      <c r="G11" s="77" t="s">
        <v>618</v>
      </c>
    </row>
    <row r="12" spans="1:7" ht="21.75" customHeight="1">
      <c r="A12" s="73" t="s">
        <v>600</v>
      </c>
      <c r="B12" s="74" t="s">
        <v>621</v>
      </c>
      <c r="C12" s="74" t="s">
        <v>622</v>
      </c>
      <c r="D12" s="101" t="s">
        <v>784</v>
      </c>
      <c r="E12" s="75">
        <v>4</v>
      </c>
      <c r="F12" s="76" t="s">
        <v>604</v>
      </c>
      <c r="G12" s="77" t="s">
        <v>618</v>
      </c>
    </row>
    <row r="13" spans="1:7" ht="21.75" customHeight="1">
      <c r="A13" s="80" t="s">
        <v>623</v>
      </c>
      <c r="B13" s="81" t="s">
        <v>624</v>
      </c>
      <c r="C13" s="81" t="s">
        <v>625</v>
      </c>
      <c r="D13" s="82" t="s">
        <v>617</v>
      </c>
      <c r="E13" s="75">
        <v>4</v>
      </c>
      <c r="F13" s="76" t="s">
        <v>604</v>
      </c>
      <c r="G13" s="77" t="s">
        <v>626</v>
      </c>
    </row>
    <row r="14" spans="1:7" ht="21.75" customHeight="1">
      <c r="A14" s="80" t="s">
        <v>623</v>
      </c>
      <c r="B14" s="83" t="s">
        <v>627</v>
      </c>
      <c r="C14" s="83" t="s">
        <v>628</v>
      </c>
      <c r="D14" s="82" t="s">
        <v>629</v>
      </c>
      <c r="E14" s="75">
        <v>4</v>
      </c>
      <c r="F14" s="76" t="s">
        <v>604</v>
      </c>
      <c r="G14" s="77" t="s">
        <v>626</v>
      </c>
    </row>
    <row r="15" spans="1:7" ht="21.75" customHeight="1">
      <c r="A15" s="80" t="s">
        <v>623</v>
      </c>
      <c r="B15" s="83" t="s">
        <v>630</v>
      </c>
      <c r="C15" s="83" t="s">
        <v>631</v>
      </c>
      <c r="D15" s="82" t="s">
        <v>632</v>
      </c>
      <c r="E15" s="75">
        <v>4</v>
      </c>
      <c r="F15" s="76" t="s">
        <v>604</v>
      </c>
      <c r="G15" s="77" t="s">
        <v>633</v>
      </c>
    </row>
    <row r="16" spans="1:7" ht="21.75" customHeight="1">
      <c r="A16" s="80" t="s">
        <v>623</v>
      </c>
      <c r="B16" s="83" t="s">
        <v>634</v>
      </c>
      <c r="C16" s="83" t="s">
        <v>635</v>
      </c>
      <c r="D16" s="82" t="s">
        <v>632</v>
      </c>
      <c r="E16" s="75">
        <v>4</v>
      </c>
      <c r="F16" s="76" t="s">
        <v>604</v>
      </c>
      <c r="G16" s="77" t="s">
        <v>633</v>
      </c>
    </row>
    <row r="17" spans="1:7" ht="21.75" customHeight="1">
      <c r="A17" s="80" t="s">
        <v>623</v>
      </c>
      <c r="B17" s="81" t="s">
        <v>636</v>
      </c>
      <c r="C17" s="83" t="s">
        <v>637</v>
      </c>
      <c r="D17" s="82" t="s">
        <v>632</v>
      </c>
      <c r="E17" s="75">
        <v>4</v>
      </c>
      <c r="F17" s="76" t="s">
        <v>604</v>
      </c>
      <c r="G17" s="77" t="s">
        <v>633</v>
      </c>
    </row>
    <row r="18" spans="1:7" ht="21.75" customHeight="1">
      <c r="A18" s="80" t="s">
        <v>623</v>
      </c>
      <c r="B18" s="81" t="s">
        <v>638</v>
      </c>
      <c r="C18" s="81" t="s">
        <v>639</v>
      </c>
      <c r="D18" s="82" t="s">
        <v>632</v>
      </c>
      <c r="E18" s="75">
        <v>4</v>
      </c>
      <c r="F18" s="76" t="s">
        <v>604</v>
      </c>
      <c r="G18" s="77" t="s">
        <v>633</v>
      </c>
    </row>
    <row r="19" spans="1:7" ht="21.75" customHeight="1">
      <c r="A19" s="80" t="s">
        <v>623</v>
      </c>
      <c r="B19" s="81" t="s">
        <v>640</v>
      </c>
      <c r="C19" s="81" t="s">
        <v>641</v>
      </c>
      <c r="D19" s="82" t="s">
        <v>642</v>
      </c>
      <c r="E19" s="75">
        <v>4</v>
      </c>
      <c r="F19" s="84" t="s">
        <v>783</v>
      </c>
      <c r="G19" s="77" t="s">
        <v>643</v>
      </c>
    </row>
    <row r="20" spans="1:7" ht="21.75" customHeight="1">
      <c r="A20" s="85" t="s">
        <v>644</v>
      </c>
      <c r="B20" s="86" t="s">
        <v>645</v>
      </c>
      <c r="C20" s="86" t="s">
        <v>646</v>
      </c>
      <c r="D20" s="87" t="s">
        <v>642</v>
      </c>
      <c r="E20" s="75">
        <v>4</v>
      </c>
      <c r="F20" s="89" t="s">
        <v>647</v>
      </c>
      <c r="G20" s="77" t="s">
        <v>648</v>
      </c>
    </row>
    <row r="21" spans="1:7" ht="21.75" customHeight="1">
      <c r="A21" s="85" t="s">
        <v>644</v>
      </c>
      <c r="B21" s="86" t="s">
        <v>649</v>
      </c>
      <c r="C21" s="86" t="s">
        <v>650</v>
      </c>
      <c r="D21" s="87" t="s">
        <v>642</v>
      </c>
      <c r="E21" s="75">
        <v>4</v>
      </c>
      <c r="F21" s="89" t="s">
        <v>647</v>
      </c>
      <c r="G21" s="77" t="s">
        <v>648</v>
      </c>
    </row>
    <row r="22" spans="1:7" ht="21.75" customHeight="1">
      <c r="A22" s="85" t="s">
        <v>644</v>
      </c>
      <c r="B22" s="86" t="s">
        <v>649</v>
      </c>
      <c r="C22" s="86" t="s">
        <v>651</v>
      </c>
      <c r="D22" s="87" t="s">
        <v>642</v>
      </c>
      <c r="E22" s="75">
        <v>4</v>
      </c>
      <c r="F22" s="89" t="s">
        <v>647</v>
      </c>
      <c r="G22" s="77" t="s">
        <v>652</v>
      </c>
    </row>
    <row r="23" spans="1:7" ht="21.75" customHeight="1">
      <c r="A23" s="85" t="s">
        <v>644</v>
      </c>
      <c r="B23" s="86" t="s">
        <v>649</v>
      </c>
      <c r="C23" s="86" t="s">
        <v>653</v>
      </c>
      <c r="D23" s="87" t="s">
        <v>642</v>
      </c>
      <c r="E23" s="75">
        <v>4</v>
      </c>
      <c r="F23" s="89" t="s">
        <v>647</v>
      </c>
      <c r="G23" s="77" t="s">
        <v>654</v>
      </c>
    </row>
    <row r="24" spans="1:7" ht="21.75" customHeight="1">
      <c r="A24" s="85" t="s">
        <v>644</v>
      </c>
      <c r="B24" s="86" t="s">
        <v>649</v>
      </c>
      <c r="C24" s="86" t="s">
        <v>655</v>
      </c>
      <c r="D24" s="87" t="s">
        <v>785</v>
      </c>
      <c r="E24" s="75">
        <v>4</v>
      </c>
      <c r="F24" s="89" t="s">
        <v>647</v>
      </c>
      <c r="G24" s="77" t="s">
        <v>654</v>
      </c>
    </row>
    <row r="25" spans="1:7" ht="21.75" customHeight="1">
      <c r="A25" s="85" t="s">
        <v>644</v>
      </c>
      <c r="B25" s="90" t="s">
        <v>656</v>
      </c>
      <c r="C25" s="86" t="s">
        <v>657</v>
      </c>
      <c r="D25" s="101" t="s">
        <v>784</v>
      </c>
      <c r="E25" s="75">
        <v>4</v>
      </c>
      <c r="F25" s="89" t="s">
        <v>647</v>
      </c>
      <c r="G25" s="77" t="s">
        <v>654</v>
      </c>
    </row>
    <row r="26" spans="1:7" ht="21.75" customHeight="1">
      <c r="A26" s="85" t="s">
        <v>644</v>
      </c>
      <c r="B26" s="90" t="s">
        <v>658</v>
      </c>
      <c r="C26" s="90" t="s">
        <v>659</v>
      </c>
      <c r="D26" s="87" t="s">
        <v>632</v>
      </c>
      <c r="E26" s="75">
        <v>4</v>
      </c>
      <c r="F26" s="89" t="s">
        <v>647</v>
      </c>
      <c r="G26" s="77" t="s">
        <v>660</v>
      </c>
    </row>
    <row r="27" spans="1:7" ht="21.75" customHeight="1">
      <c r="A27" s="85" t="s">
        <v>644</v>
      </c>
      <c r="B27" s="90" t="s">
        <v>661</v>
      </c>
      <c r="C27" s="90" t="s">
        <v>662</v>
      </c>
      <c r="D27" s="101" t="s">
        <v>784</v>
      </c>
      <c r="E27" s="75">
        <v>4</v>
      </c>
      <c r="F27" s="89" t="s">
        <v>647</v>
      </c>
      <c r="G27" s="77" t="s">
        <v>660</v>
      </c>
    </row>
    <row r="28" spans="1:7" ht="21.75" customHeight="1">
      <c r="A28" s="85" t="s">
        <v>644</v>
      </c>
      <c r="B28" s="90" t="s">
        <v>663</v>
      </c>
      <c r="C28" s="90" t="s">
        <v>664</v>
      </c>
      <c r="D28" s="101" t="s">
        <v>784</v>
      </c>
      <c r="E28" s="88">
        <v>4</v>
      </c>
      <c r="F28" s="89" t="s">
        <v>647</v>
      </c>
      <c r="G28" s="77" t="s">
        <v>665</v>
      </c>
    </row>
    <row r="29" spans="1:7" ht="24" customHeight="1">
      <c r="A29" s="138" t="s">
        <v>435</v>
      </c>
      <c r="B29" s="138"/>
      <c r="C29" s="138"/>
      <c r="D29" s="138"/>
      <c r="E29" s="91">
        <f>SUM(E6:E28)</f>
        <v>92</v>
      </c>
      <c r="F29" s="67" t="str">
        <f>COUNTIF(F6:F28,"완료")&amp;" / 23"</f>
        <v>13 / 23</v>
      </c>
      <c r="G29" s="92">
        <f>COUNTIF(F6:F28,"완료")/23</f>
        <v>0.56521739130434778</v>
      </c>
    </row>
    <row r="31" spans="1:7" ht="18" customHeight="1">
      <c r="A31" s="105" t="s">
        <v>666</v>
      </c>
      <c r="B31" s="105"/>
      <c r="C31" s="105"/>
      <c r="D31" s="105"/>
      <c r="E31" s="105"/>
      <c r="F31" s="105"/>
      <c r="G31" s="105"/>
    </row>
    <row r="32" spans="1:7" ht="18" customHeight="1">
      <c r="A32" s="118" t="s">
        <v>667</v>
      </c>
      <c r="B32" s="118"/>
      <c r="C32" s="118"/>
      <c r="D32" s="118"/>
      <c r="E32" s="118"/>
      <c r="F32" s="118"/>
      <c r="G32" s="118"/>
    </row>
  </sheetData>
  <autoFilter ref="A5:G28"/>
  <mergeCells count="5">
    <mergeCell ref="A2:G2"/>
    <mergeCell ref="A3:G3"/>
    <mergeCell ref="A29:D29"/>
    <mergeCell ref="A31:G31"/>
    <mergeCell ref="A32:G32"/>
  </mergeCells>
  <phoneticPr fontId="51" type="noConversion"/>
  <dataValidations count="1">
    <dataValidation type="list" allowBlank="1" sqref="F6:F28">
      <formula1>"진행 전,진행 중,완료,보류"</formula1>
      <formula2>0</formula2>
    </dataValidation>
  </dataValidations>
  <printOptions horizontalCentered="1"/>
  <pageMargins left="0.3" right="0.3" top="0.4" bottom="0.4" header="0.511811023622047" footer="0.5"/>
  <pageSetup paperSize="9" fitToHeight="0" orientation="landscape" horizontalDpi="300" verticalDpi="300"/>
  <headerFooter>
    <oddFooter>&amp;L&amp;8 2호선 역세권 프로젝트 기획서&amp;R&amp;8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D38"/>
  <sheetViews>
    <sheetView showGridLines="0" zoomScaleNormal="100" workbookViewId="0">
      <pane ySplit="4" topLeftCell="A5" activePane="bottomLeft" state="frozen"/>
      <selection pane="bottomLeft" activeCell="D7" sqref="D7"/>
    </sheetView>
  </sheetViews>
  <sheetFormatPr defaultColWidth="8.7109375" defaultRowHeight="15"/>
  <cols>
    <col min="1" max="1" width="28" style="1" customWidth="1"/>
    <col min="2" max="2" width="48" style="1" customWidth="1"/>
    <col min="3" max="3" width="22" style="1" customWidth="1"/>
    <col min="4" max="4" width="14" style="1" customWidth="1"/>
  </cols>
  <sheetData>
    <row r="2" spans="1:4" ht="27.75" customHeight="1">
      <c r="A2" s="116" t="s">
        <v>668</v>
      </c>
      <c r="B2" s="116"/>
      <c r="C2" s="116"/>
      <c r="D2" s="116"/>
    </row>
    <row r="3" spans="1:4" ht="15" customHeight="1">
      <c r="A3" s="117" t="s">
        <v>669</v>
      </c>
      <c r="B3" s="117"/>
      <c r="C3" s="117"/>
      <c r="D3" s="117"/>
    </row>
    <row r="5" spans="1:4" ht="21.75" customHeight="1">
      <c r="A5" s="111" t="s">
        <v>670</v>
      </c>
      <c r="B5" s="111"/>
      <c r="C5" s="111"/>
      <c r="D5" s="111"/>
    </row>
    <row r="6" spans="1:4" ht="24" customHeight="1">
      <c r="A6" s="2" t="s">
        <v>671</v>
      </c>
      <c r="B6" s="2" t="s">
        <v>5</v>
      </c>
      <c r="C6" s="2" t="s">
        <v>596</v>
      </c>
      <c r="D6" s="2" t="s">
        <v>151</v>
      </c>
    </row>
    <row r="7" spans="1:4" ht="19.5" customHeight="1">
      <c r="A7" s="5" t="s">
        <v>672</v>
      </c>
      <c r="B7" s="4" t="s">
        <v>673</v>
      </c>
      <c r="C7" s="14" t="s">
        <v>608</v>
      </c>
      <c r="D7" s="14" t="s">
        <v>674</v>
      </c>
    </row>
    <row r="8" spans="1:4" ht="19.5" customHeight="1">
      <c r="A8" s="5" t="s">
        <v>675</v>
      </c>
      <c r="B8" s="5" t="s">
        <v>676</v>
      </c>
      <c r="C8" s="14" t="s">
        <v>617</v>
      </c>
      <c r="D8" s="14" t="s">
        <v>677</v>
      </c>
    </row>
    <row r="9" spans="1:4" ht="19.5" customHeight="1">
      <c r="A9" s="5" t="s">
        <v>678</v>
      </c>
      <c r="B9" s="5" t="s">
        <v>679</v>
      </c>
      <c r="C9" s="14" t="s">
        <v>617</v>
      </c>
      <c r="D9" s="14" t="s">
        <v>680</v>
      </c>
    </row>
    <row r="10" spans="1:4" ht="19.5" customHeight="1">
      <c r="A10" s="4" t="s">
        <v>681</v>
      </c>
      <c r="B10" s="4" t="s">
        <v>682</v>
      </c>
      <c r="C10" s="14" t="s">
        <v>617</v>
      </c>
      <c r="D10" s="14" t="s">
        <v>683</v>
      </c>
    </row>
    <row r="11" spans="1:4" ht="19.5" customHeight="1">
      <c r="A11" s="4" t="s">
        <v>634</v>
      </c>
      <c r="B11" s="5" t="s">
        <v>684</v>
      </c>
      <c r="C11" s="14" t="s">
        <v>632</v>
      </c>
      <c r="D11" s="14" t="s">
        <v>674</v>
      </c>
    </row>
    <row r="12" spans="1:4" ht="19.5" customHeight="1">
      <c r="A12" s="5" t="s">
        <v>636</v>
      </c>
      <c r="B12" s="4" t="s">
        <v>685</v>
      </c>
      <c r="C12" s="14" t="s">
        <v>632</v>
      </c>
      <c r="D12" s="14" t="s">
        <v>686</v>
      </c>
    </row>
    <row r="13" spans="1:4" ht="19.5" customHeight="1">
      <c r="A13" s="5" t="s">
        <v>687</v>
      </c>
      <c r="B13" s="5" t="s">
        <v>688</v>
      </c>
      <c r="C13" s="14" t="s">
        <v>642</v>
      </c>
      <c r="D13" s="14" t="s">
        <v>689</v>
      </c>
    </row>
    <row r="14" spans="1:4" ht="19.5" customHeight="1">
      <c r="A14" s="4" t="s">
        <v>690</v>
      </c>
      <c r="B14" s="4" t="s">
        <v>691</v>
      </c>
      <c r="C14" s="14" t="s">
        <v>632</v>
      </c>
      <c r="D14" s="14" t="s">
        <v>692</v>
      </c>
    </row>
    <row r="15" spans="1:4" ht="19.5" customHeight="1">
      <c r="A15" s="4" t="s">
        <v>661</v>
      </c>
      <c r="B15" s="4" t="s">
        <v>786</v>
      </c>
      <c r="C15" s="15" t="s">
        <v>603</v>
      </c>
      <c r="D15" s="14" t="s">
        <v>693</v>
      </c>
    </row>
    <row r="17" spans="1:4" ht="21.75" customHeight="1">
      <c r="A17" s="111" t="s">
        <v>694</v>
      </c>
      <c r="B17" s="111"/>
      <c r="C17" s="111"/>
      <c r="D17" s="111"/>
    </row>
    <row r="18" spans="1:4" ht="24" customHeight="1">
      <c r="A18" s="2" t="s">
        <v>695</v>
      </c>
      <c r="B18" s="2" t="s">
        <v>696</v>
      </c>
      <c r="C18" s="2" t="s">
        <v>697</v>
      </c>
      <c r="D18" s="2" t="s">
        <v>698</v>
      </c>
    </row>
    <row r="19" spans="1:4" ht="19.5" customHeight="1">
      <c r="A19" s="93" t="s">
        <v>699</v>
      </c>
      <c r="B19" s="4" t="s">
        <v>700</v>
      </c>
      <c r="C19" s="15">
        <v>15</v>
      </c>
      <c r="D19" s="77">
        <v>14</v>
      </c>
    </row>
    <row r="20" spans="1:4" ht="19.5" customHeight="1">
      <c r="A20" s="93" t="s">
        <v>701</v>
      </c>
      <c r="B20" s="4" t="s">
        <v>702</v>
      </c>
      <c r="C20" s="15">
        <v>15</v>
      </c>
      <c r="D20" s="77">
        <v>14</v>
      </c>
    </row>
    <row r="21" spans="1:4" ht="19.5" customHeight="1">
      <c r="A21" s="32" t="s">
        <v>703</v>
      </c>
      <c r="B21" s="5" t="s">
        <v>704</v>
      </c>
      <c r="C21" s="15">
        <v>15</v>
      </c>
      <c r="D21" s="77">
        <v>13</v>
      </c>
    </row>
    <row r="22" spans="1:4" ht="19.5" customHeight="1">
      <c r="A22" s="93" t="s">
        <v>705</v>
      </c>
      <c r="B22" s="4" t="s">
        <v>706</v>
      </c>
      <c r="C22" s="15">
        <v>15</v>
      </c>
      <c r="D22" s="77">
        <v>14</v>
      </c>
    </row>
    <row r="23" spans="1:4" ht="19.5" customHeight="1">
      <c r="A23" s="32" t="s">
        <v>707</v>
      </c>
      <c r="B23" s="4" t="s">
        <v>708</v>
      </c>
      <c r="C23" s="15">
        <v>20</v>
      </c>
      <c r="D23" s="77">
        <v>5</v>
      </c>
    </row>
    <row r="24" spans="1:4" ht="19.5" customHeight="1">
      <c r="A24" s="32" t="s">
        <v>709</v>
      </c>
      <c r="B24" s="4" t="s">
        <v>710</v>
      </c>
      <c r="C24" s="15">
        <v>10</v>
      </c>
      <c r="D24" s="77">
        <v>7</v>
      </c>
    </row>
    <row r="25" spans="1:4" ht="19.5" customHeight="1">
      <c r="A25" s="93" t="s">
        <v>711</v>
      </c>
      <c r="B25" s="4" t="s">
        <v>712</v>
      </c>
      <c r="C25" s="15">
        <v>10</v>
      </c>
      <c r="D25" s="77">
        <v>4</v>
      </c>
    </row>
    <row r="26" spans="1:4" ht="24" customHeight="1">
      <c r="A26" s="94" t="s">
        <v>435</v>
      </c>
      <c r="B26" s="94"/>
      <c r="C26" s="94">
        <f>SUM(C19:C25)</f>
        <v>100</v>
      </c>
      <c r="D26" s="94">
        <f>SUM(D19:D25)</f>
        <v>71</v>
      </c>
    </row>
    <row r="27" spans="1:4" ht="18" customHeight="1">
      <c r="A27" s="118" t="s">
        <v>713</v>
      </c>
      <c r="B27" s="118"/>
      <c r="C27" s="118"/>
      <c r="D27" s="118"/>
    </row>
    <row r="30" spans="1:4" ht="21.75" customHeight="1">
      <c r="A30" s="111" t="s">
        <v>714</v>
      </c>
      <c r="B30" s="111"/>
      <c r="C30" s="111"/>
      <c r="D30" s="111"/>
    </row>
    <row r="31" spans="1:4" ht="48" customHeight="1">
      <c r="A31" s="139" t="s">
        <v>715</v>
      </c>
      <c r="B31" s="139"/>
      <c r="C31" s="139"/>
      <c r="D31" s="139"/>
    </row>
    <row r="33" spans="1:4" ht="21.75" customHeight="1">
      <c r="A33" s="111" t="s">
        <v>716</v>
      </c>
      <c r="B33" s="111"/>
      <c r="C33" s="111"/>
      <c r="D33" s="111"/>
    </row>
    <row r="34" spans="1:4" ht="33" customHeight="1">
      <c r="A34" s="115" t="s">
        <v>717</v>
      </c>
      <c r="B34" s="115"/>
      <c r="C34" s="115"/>
      <c r="D34" s="115"/>
    </row>
    <row r="35" spans="1:4" ht="18" customHeight="1">
      <c r="A35" s="115" t="s">
        <v>718</v>
      </c>
      <c r="B35" s="115"/>
      <c r="C35" s="115"/>
      <c r="D35" s="115"/>
    </row>
    <row r="36" spans="1:4" ht="18" customHeight="1">
      <c r="A36" s="115" t="s">
        <v>719</v>
      </c>
      <c r="B36" s="115"/>
      <c r="C36" s="115"/>
      <c r="D36" s="115"/>
    </row>
    <row r="37" spans="1:4" ht="18" customHeight="1">
      <c r="A37" s="115" t="s">
        <v>720</v>
      </c>
      <c r="B37" s="115"/>
      <c r="C37" s="115"/>
      <c r="D37" s="115"/>
    </row>
    <row r="38" spans="1:4" ht="18" customHeight="1">
      <c r="A38" s="115" t="s">
        <v>721</v>
      </c>
      <c r="B38" s="115"/>
      <c r="C38" s="115"/>
      <c r="D38" s="115"/>
    </row>
  </sheetData>
  <mergeCells count="13">
    <mergeCell ref="A2:D2"/>
    <mergeCell ref="A3:D3"/>
    <mergeCell ref="A5:D5"/>
    <mergeCell ref="A17:D17"/>
    <mergeCell ref="A27:D27"/>
    <mergeCell ref="A36:D36"/>
    <mergeCell ref="A37:D37"/>
    <mergeCell ref="A38:D38"/>
    <mergeCell ref="A30:D30"/>
    <mergeCell ref="A31:D31"/>
    <mergeCell ref="A33:D33"/>
    <mergeCell ref="A34:D34"/>
    <mergeCell ref="A35:D35"/>
  </mergeCells>
  <phoneticPr fontId="51" type="noConversion"/>
  <printOptions horizontalCentered="1"/>
  <pageMargins left="0.3" right="0.3" top="0.4" bottom="0.4" header="0.511811023622047" footer="0.5"/>
  <pageSetup paperSize="9" fitToHeight="0" orientation="landscape" horizontalDpi="300" verticalDpi="300"/>
  <headerFooter>
    <oddFooter>&amp;L&amp;8 2호선 역세권 프로젝트 기획서&amp;R&amp;8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84D"/>
    <pageSetUpPr fitToPage="1"/>
  </sheetPr>
  <dimension ref="A2:D41"/>
  <sheetViews>
    <sheetView showGridLines="0" tabSelected="1" zoomScaleNormal="100" workbookViewId="0">
      <pane ySplit="4" topLeftCell="A32" activePane="bottomLeft" state="frozen"/>
      <selection pane="bottomLeft" activeCell="D27" sqref="D27"/>
    </sheetView>
  </sheetViews>
  <sheetFormatPr defaultColWidth="8.7109375" defaultRowHeight="15"/>
  <cols>
    <col min="1" max="1" width="16" style="1" customWidth="1"/>
    <col min="2" max="2" width="56" style="1" customWidth="1"/>
    <col min="3" max="3" width="12" style="1" customWidth="1"/>
    <col min="4" max="4" width="26" style="1" customWidth="1"/>
  </cols>
  <sheetData>
    <row r="2" spans="1:4" ht="27.75" customHeight="1">
      <c r="A2" s="116" t="s">
        <v>722</v>
      </c>
      <c r="B2" s="116"/>
      <c r="C2" s="116"/>
      <c r="D2" s="116"/>
    </row>
    <row r="3" spans="1:4" ht="18" customHeight="1">
      <c r="A3" s="117" t="s">
        <v>723</v>
      </c>
      <c r="B3" s="117"/>
      <c r="C3" s="117"/>
      <c r="D3" s="117"/>
    </row>
    <row r="5" spans="1:4" ht="24" customHeight="1">
      <c r="A5" s="2" t="s">
        <v>58</v>
      </c>
      <c r="B5" s="2" t="s">
        <v>724</v>
      </c>
      <c r="C5" s="2" t="s">
        <v>604</v>
      </c>
      <c r="D5" s="2" t="s">
        <v>307</v>
      </c>
    </row>
    <row r="6" spans="1:4" ht="19.5" customHeight="1">
      <c r="A6" s="95" t="s">
        <v>148</v>
      </c>
      <c r="B6" s="4" t="s">
        <v>725</v>
      </c>
      <c r="C6" s="96" t="s">
        <v>726</v>
      </c>
      <c r="D6" s="19" t="s">
        <v>154</v>
      </c>
    </row>
    <row r="7" spans="1:4" ht="19.5" customHeight="1">
      <c r="A7" s="95" t="s">
        <v>148</v>
      </c>
      <c r="B7" s="4" t="s">
        <v>727</v>
      </c>
      <c r="C7" s="96" t="s">
        <v>726</v>
      </c>
      <c r="D7" s="19" t="s">
        <v>728</v>
      </c>
    </row>
    <row r="8" spans="1:4" ht="19.5" customHeight="1">
      <c r="A8" s="95" t="s">
        <v>148</v>
      </c>
      <c r="B8" s="5" t="s">
        <v>729</v>
      </c>
      <c r="C8" s="96" t="s">
        <v>726</v>
      </c>
      <c r="D8" s="77" t="s">
        <v>730</v>
      </c>
    </row>
    <row r="9" spans="1:4" ht="19.5" customHeight="1">
      <c r="A9" s="95" t="s">
        <v>148</v>
      </c>
      <c r="B9" s="4" t="s">
        <v>731</v>
      </c>
      <c r="C9" s="96" t="s">
        <v>726</v>
      </c>
      <c r="D9" s="77" t="s">
        <v>730</v>
      </c>
    </row>
    <row r="10" spans="1:4" ht="19.5" customHeight="1">
      <c r="A10" s="95" t="s">
        <v>148</v>
      </c>
      <c r="B10" s="4" t="s">
        <v>732</v>
      </c>
      <c r="C10" s="96" t="s">
        <v>726</v>
      </c>
      <c r="D10" s="77" t="s">
        <v>733</v>
      </c>
    </row>
    <row r="11" spans="1:4" ht="19.5" customHeight="1">
      <c r="A11" s="95" t="s">
        <v>148</v>
      </c>
      <c r="B11" s="5" t="s">
        <v>734</v>
      </c>
      <c r="C11" s="96" t="s">
        <v>726</v>
      </c>
      <c r="D11" s="77" t="s">
        <v>735</v>
      </c>
    </row>
    <row r="12" spans="1:4" ht="19.5" customHeight="1">
      <c r="A12" s="95" t="s">
        <v>148</v>
      </c>
      <c r="B12" s="4" t="s">
        <v>621</v>
      </c>
      <c r="C12" s="96" t="s">
        <v>726</v>
      </c>
      <c r="D12" s="19" t="s">
        <v>736</v>
      </c>
    </row>
    <row r="13" spans="1:4" ht="19.5" customHeight="1">
      <c r="A13" s="80" t="s">
        <v>737</v>
      </c>
      <c r="B13" s="5" t="s">
        <v>738</v>
      </c>
      <c r="C13" s="96" t="s">
        <v>726</v>
      </c>
      <c r="D13" s="19" t="s">
        <v>312</v>
      </c>
    </row>
    <row r="14" spans="1:4" ht="19.5" customHeight="1">
      <c r="A14" s="80" t="s">
        <v>737</v>
      </c>
      <c r="B14" s="5" t="s">
        <v>739</v>
      </c>
      <c r="C14" s="96" t="s">
        <v>726</v>
      </c>
      <c r="D14" s="19" t="s">
        <v>317</v>
      </c>
    </row>
    <row r="15" spans="1:4" ht="19.5" customHeight="1">
      <c r="A15" s="80" t="s">
        <v>737</v>
      </c>
      <c r="B15" s="5" t="s">
        <v>740</v>
      </c>
      <c r="C15" s="96" t="s">
        <v>726</v>
      </c>
      <c r="D15" s="77" t="s">
        <v>741</v>
      </c>
    </row>
    <row r="16" spans="1:4" ht="19.5" customHeight="1">
      <c r="A16" s="80" t="s">
        <v>737</v>
      </c>
      <c r="B16" s="4" t="s">
        <v>742</v>
      </c>
      <c r="C16" s="96" t="s">
        <v>726</v>
      </c>
      <c r="D16" s="77" t="s">
        <v>327</v>
      </c>
    </row>
    <row r="17" spans="1:4" ht="19.5" customHeight="1">
      <c r="A17" s="80" t="s">
        <v>737</v>
      </c>
      <c r="B17" s="5" t="s">
        <v>625</v>
      </c>
      <c r="C17" s="96" t="s">
        <v>726</v>
      </c>
      <c r="D17" s="77" t="s">
        <v>743</v>
      </c>
    </row>
    <row r="18" spans="1:4" ht="19.5" customHeight="1">
      <c r="A18" s="97" t="s">
        <v>744</v>
      </c>
      <c r="B18" s="4" t="s">
        <v>745</v>
      </c>
      <c r="C18" s="96" t="s">
        <v>726</v>
      </c>
      <c r="D18" s="77" t="s">
        <v>746</v>
      </c>
    </row>
    <row r="19" spans="1:4" ht="19.5" customHeight="1">
      <c r="A19" s="97" t="s">
        <v>744</v>
      </c>
      <c r="B19" s="4" t="s">
        <v>747</v>
      </c>
      <c r="C19" s="96" t="s">
        <v>726</v>
      </c>
      <c r="D19" s="77" t="s">
        <v>748</v>
      </c>
    </row>
    <row r="20" spans="1:4" ht="19.5" customHeight="1">
      <c r="A20" s="97" t="s">
        <v>744</v>
      </c>
      <c r="B20" s="4" t="s">
        <v>749</v>
      </c>
      <c r="C20" s="96" t="s">
        <v>726</v>
      </c>
      <c r="D20" s="77" t="s">
        <v>750</v>
      </c>
    </row>
    <row r="21" spans="1:4" ht="19.5" customHeight="1">
      <c r="A21" s="97" t="s">
        <v>744</v>
      </c>
      <c r="B21" s="4" t="s">
        <v>634</v>
      </c>
      <c r="C21" s="96" t="s">
        <v>726</v>
      </c>
      <c r="D21" s="77" t="s">
        <v>751</v>
      </c>
    </row>
    <row r="22" spans="1:4" ht="19.5" customHeight="1">
      <c r="A22" s="97" t="s">
        <v>744</v>
      </c>
      <c r="B22" s="5" t="s">
        <v>636</v>
      </c>
      <c r="C22" s="96" t="s">
        <v>726</v>
      </c>
      <c r="D22" s="19" t="s">
        <v>752</v>
      </c>
    </row>
    <row r="23" spans="1:4" ht="19.5" customHeight="1">
      <c r="A23" s="97" t="s">
        <v>744</v>
      </c>
      <c r="B23" s="5" t="s">
        <v>753</v>
      </c>
      <c r="C23" s="96" t="s">
        <v>726</v>
      </c>
      <c r="D23" s="77" t="s">
        <v>754</v>
      </c>
    </row>
    <row r="24" spans="1:4" ht="19.5" customHeight="1">
      <c r="A24" s="97" t="s">
        <v>744</v>
      </c>
      <c r="B24" s="4" t="s">
        <v>755</v>
      </c>
      <c r="C24" s="98" t="s">
        <v>756</v>
      </c>
      <c r="D24" s="19" t="s">
        <v>757</v>
      </c>
    </row>
    <row r="25" spans="1:4" ht="19.5" customHeight="1">
      <c r="A25" s="97" t="s">
        <v>744</v>
      </c>
      <c r="B25" s="4" t="s">
        <v>758</v>
      </c>
      <c r="C25" s="98" t="s">
        <v>756</v>
      </c>
      <c r="D25" s="19" t="s">
        <v>759</v>
      </c>
    </row>
    <row r="26" spans="1:4" ht="19.5" customHeight="1">
      <c r="A26" s="85" t="s">
        <v>707</v>
      </c>
      <c r="B26" s="5" t="s">
        <v>760</v>
      </c>
      <c r="C26" s="98" t="s">
        <v>756</v>
      </c>
      <c r="D26" s="77" t="s">
        <v>761</v>
      </c>
    </row>
    <row r="27" spans="1:4" ht="19.5" customHeight="1">
      <c r="A27" s="85" t="s">
        <v>707</v>
      </c>
      <c r="B27" s="4" t="s">
        <v>762</v>
      </c>
      <c r="C27" s="98" t="s">
        <v>756</v>
      </c>
      <c r="D27" s="77" t="s">
        <v>761</v>
      </c>
    </row>
    <row r="28" spans="1:4" ht="19.5" customHeight="1">
      <c r="A28" s="85" t="s">
        <v>707</v>
      </c>
      <c r="B28" s="5" t="s">
        <v>763</v>
      </c>
      <c r="C28" s="98" t="s">
        <v>756</v>
      </c>
      <c r="D28" s="77" t="s">
        <v>764</v>
      </c>
    </row>
    <row r="29" spans="1:4" ht="19.5" customHeight="1">
      <c r="A29" s="85" t="s">
        <v>707</v>
      </c>
      <c r="B29" s="5" t="s">
        <v>765</v>
      </c>
      <c r="C29" s="98" t="s">
        <v>756</v>
      </c>
      <c r="D29" s="77" t="s">
        <v>764</v>
      </c>
    </row>
    <row r="30" spans="1:4" ht="19.5" customHeight="1">
      <c r="A30" s="85" t="s">
        <v>707</v>
      </c>
      <c r="B30" s="5" t="s">
        <v>766</v>
      </c>
      <c r="C30" s="98" t="s">
        <v>756</v>
      </c>
      <c r="D30" s="77" t="s">
        <v>767</v>
      </c>
    </row>
    <row r="31" spans="1:4" ht="19.5" customHeight="1">
      <c r="A31" s="85" t="s">
        <v>707</v>
      </c>
      <c r="B31" s="5" t="s">
        <v>768</v>
      </c>
      <c r="C31" s="98" t="s">
        <v>756</v>
      </c>
      <c r="D31" s="77" t="s">
        <v>769</v>
      </c>
    </row>
    <row r="32" spans="1:4" ht="19.5" customHeight="1">
      <c r="A32" s="85" t="s">
        <v>707</v>
      </c>
      <c r="B32" s="5" t="s">
        <v>770</v>
      </c>
      <c r="C32" s="98" t="s">
        <v>756</v>
      </c>
      <c r="D32" s="77" t="s">
        <v>769</v>
      </c>
    </row>
    <row r="33" spans="1:4" ht="19.5" customHeight="1">
      <c r="A33" s="85" t="s">
        <v>707</v>
      </c>
      <c r="B33" s="5" t="s">
        <v>771</v>
      </c>
      <c r="C33" s="98" t="s">
        <v>756</v>
      </c>
      <c r="D33" s="77" t="s">
        <v>769</v>
      </c>
    </row>
    <row r="34" spans="1:4" ht="19.5" customHeight="1">
      <c r="A34" s="99" t="s">
        <v>772</v>
      </c>
      <c r="B34" s="4" t="s">
        <v>773</v>
      </c>
      <c r="C34" s="98" t="s">
        <v>756</v>
      </c>
      <c r="D34" s="77" t="s">
        <v>774</v>
      </c>
    </row>
    <row r="35" spans="1:4" ht="19.5" customHeight="1">
      <c r="A35" s="99" t="s">
        <v>772</v>
      </c>
      <c r="B35" s="4" t="s">
        <v>775</v>
      </c>
      <c r="C35" s="98" t="s">
        <v>756</v>
      </c>
      <c r="D35" s="77" t="s">
        <v>774</v>
      </c>
    </row>
    <row r="36" spans="1:4" ht="19.5" customHeight="1">
      <c r="A36" s="99" t="s">
        <v>772</v>
      </c>
      <c r="B36" s="4" t="s">
        <v>776</v>
      </c>
      <c r="C36" s="98" t="s">
        <v>756</v>
      </c>
      <c r="D36" s="77" t="s">
        <v>774</v>
      </c>
    </row>
    <row r="37" spans="1:4" ht="19.5" customHeight="1">
      <c r="A37" s="99" t="s">
        <v>772</v>
      </c>
      <c r="B37" s="4" t="s">
        <v>777</v>
      </c>
      <c r="C37" s="98" t="s">
        <v>756</v>
      </c>
      <c r="D37" s="77" t="s">
        <v>774</v>
      </c>
    </row>
    <row r="38" spans="1:4" ht="19.5" customHeight="1">
      <c r="A38" s="99" t="s">
        <v>772</v>
      </c>
      <c r="B38" s="4" t="s">
        <v>778</v>
      </c>
      <c r="C38" s="98" t="s">
        <v>756</v>
      </c>
      <c r="D38" s="77" t="s">
        <v>774</v>
      </c>
    </row>
    <row r="39" spans="1:4" ht="19.5" customHeight="1">
      <c r="A39" s="99" t="s">
        <v>772</v>
      </c>
      <c r="B39" s="4" t="s">
        <v>779</v>
      </c>
      <c r="C39" s="98" t="s">
        <v>756</v>
      </c>
      <c r="D39" s="77" t="s">
        <v>780</v>
      </c>
    </row>
    <row r="40" spans="1:4" ht="24" customHeight="1">
      <c r="A40" s="140" t="s">
        <v>781</v>
      </c>
      <c r="B40" s="140"/>
      <c r="C40" s="100">
        <f>COUNTIF(C6:C39,"O")/34</f>
        <v>0.52941176470588236</v>
      </c>
      <c r="D40" s="94" t="str">
        <f>COUNTIF(C6:C39,"O")&amp;" / 34"</f>
        <v>18 / 34</v>
      </c>
    </row>
    <row r="41" spans="1:4" ht="18" customHeight="1">
      <c r="A41" s="118" t="s">
        <v>782</v>
      </c>
      <c r="B41" s="118"/>
      <c r="C41" s="118"/>
      <c r="D41" s="118"/>
    </row>
  </sheetData>
  <autoFilter ref="A5:D39"/>
  <mergeCells count="4">
    <mergeCell ref="A2:D2"/>
    <mergeCell ref="A3:D3"/>
    <mergeCell ref="A40:B40"/>
    <mergeCell ref="A41:D41"/>
  </mergeCells>
  <phoneticPr fontId="51" type="noConversion"/>
  <dataValidations count="1">
    <dataValidation type="list" allowBlank="1" sqref="C6:C39">
      <formula1>"O,X"</formula1>
      <formula2>0</formula2>
    </dataValidation>
  </dataValidations>
  <printOptions horizontalCentered="1"/>
  <pageMargins left="0.3" right="0.3" top="0.4" bottom="0.4" header="0.511811023622047" footer="0.5"/>
  <pageSetup paperSize="9" fitToHeight="0" orientation="landscape" horizontalDpi="300" verticalDpi="300" r:id="rId1"/>
  <headerFooter>
    <oddFooter>&amp;L&amp;8 2호선 역세권 프로젝트 기획서&amp;R&amp;8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0.표지·기본정보</vt:lpstr>
      <vt:lpstr>1.개요·문제정의</vt:lpstr>
      <vt:lpstr>2.KPI</vt:lpstr>
      <vt:lpstr>3.데이터수집</vt:lpstr>
      <vt:lpstr>4.전처리</vt:lpstr>
      <vt:lpstr>5.DB설계</vt:lpstr>
      <vt:lpstr>6.분석결과</vt:lpstr>
      <vt:lpstr>7.4분면분석</vt:lpstr>
      <vt:lpstr>8.대시보드구성</vt:lpstr>
      <vt:lpstr>9.R&amp;R</vt:lpstr>
      <vt:lpstr>10.WBS일정</vt:lpstr>
      <vt:lpstr>11.산출물·평가</vt:lpstr>
      <vt:lpstr>12.점검표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2</cp:revision>
  <dcterms:created xsi:type="dcterms:W3CDTF">2026-08-27T01:27:35Z</dcterms:created>
  <dcterms:modified xsi:type="dcterms:W3CDTF">2026-08-27T01:58:16Z</dcterms:modified>
  <dc:language>en-US</dc:language>
</cp:coreProperties>
</file>